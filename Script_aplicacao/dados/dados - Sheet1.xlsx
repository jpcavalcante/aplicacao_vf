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80a79e84b59f40/PÓS GRADUAÇÃO-USP/Geog Física/ALUNOS EM ANDAMENTO/MESTRADO/EMANUELI MINATTI/dados_mgwr/"/>
    </mc:Choice>
  </mc:AlternateContent>
  <xr:revisionPtr revIDLastSave="7" documentId="13_ncr:9_{968A9DB1-2DC2-4C24-92FC-9090774D9BFC}" xr6:coauthVersionLast="47" xr6:coauthVersionMax="47" xr10:uidLastSave="{E2E59A4E-7F35-45AC-B1B5-78BAD64CC5DA}"/>
  <bookViews>
    <workbookView xWindow="-108" yWindow="-108" windowWidth="23256" windowHeight="12456" xr2:uid="{EFE99C25-C556-4422-9FC6-41F0886F5D31}"/>
  </bookViews>
  <sheets>
    <sheet name="dados -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2" i="1"/>
</calcChain>
</file>

<file path=xl/sharedStrings.xml><?xml version="1.0" encoding="utf-8"?>
<sst xmlns="http://schemas.openxmlformats.org/spreadsheetml/2006/main" count="406" uniqueCount="219">
  <si>
    <t>dst_dm_</t>
  </si>
  <si>
    <t>ds_cdg_</t>
  </si>
  <si>
    <t>ds_nome</t>
  </si>
  <si>
    <t>CRS</t>
  </si>
  <si>
    <t>X_COD_D</t>
  </si>
  <si>
    <t>X_NOM_D</t>
  </si>
  <si>
    <t>X_GeSES</t>
  </si>
  <si>
    <t>X_educc</t>
  </si>
  <si>
    <t>X_mbldd</t>
  </si>
  <si>
    <t>X_pobrz</t>
  </si>
  <si>
    <t>X_prv_m</t>
  </si>
  <si>
    <t>X_riquz</t>
  </si>
  <si>
    <t>X_renda</t>
  </si>
  <si>
    <t>X_segrg</t>
  </si>
  <si>
    <t>Y</t>
  </si>
  <si>
    <t>E</t>
  </si>
  <si>
    <t>TIP</t>
  </si>
  <si>
    <t>VIA</t>
  </si>
  <si>
    <t>Pop</t>
  </si>
  <si>
    <t>longitude</t>
  </si>
  <si>
    <t>latitude</t>
  </si>
  <si>
    <t>Ãgua Rasa</t>
  </si>
  <si>
    <t>AGUA RASA</t>
  </si>
  <si>
    <t>Sudeste</t>
  </si>
  <si>
    <t>Alto de Pinheiros</t>
  </si>
  <si>
    <t>ALTO DE PINHEIROS</t>
  </si>
  <si>
    <t>Centro-oeste</t>
  </si>
  <si>
    <t>Anhanguera</t>
  </si>
  <si>
    <t>ANHANGUERA</t>
  </si>
  <si>
    <t>Norte</t>
  </si>
  <si>
    <t>Aricanduva</t>
  </si>
  <si>
    <t>ARICANDUVA</t>
  </si>
  <si>
    <t>Artur Alvim</t>
  </si>
  <si>
    <t>ARTUR ALVIM</t>
  </si>
  <si>
    <t>Barra Funda</t>
  </si>
  <si>
    <t>BARRA FUNDA</t>
  </si>
  <si>
    <t>Bela Vista</t>
  </si>
  <si>
    <t>BELA VISTA</t>
  </si>
  <si>
    <t>BelÃ©m</t>
  </si>
  <si>
    <t>BELEM</t>
  </si>
  <si>
    <t>Bom Retiro</t>
  </si>
  <si>
    <t>BOM RETIRO</t>
  </si>
  <si>
    <t>BrÃ¡s</t>
  </si>
  <si>
    <t>BRAS</t>
  </si>
  <si>
    <t>BrasilÃ¢ndia</t>
  </si>
  <si>
    <t>BRASILANDIA</t>
  </si>
  <si>
    <t>ButantÃ£</t>
  </si>
  <si>
    <t>BUTANTA</t>
  </si>
  <si>
    <t>Cachoeirinha</t>
  </si>
  <si>
    <t>CACHOEIRINHA</t>
  </si>
  <si>
    <t>Cambuci</t>
  </si>
  <si>
    <t>CAMBUCI</t>
  </si>
  <si>
    <t>Campo Belo</t>
  </si>
  <si>
    <t>CAMPO BELO</t>
  </si>
  <si>
    <t>Sul</t>
  </si>
  <si>
    <t>Campo Grande</t>
  </si>
  <si>
    <t>CAMPO GRANDE</t>
  </si>
  <si>
    <t>Campo Limpo</t>
  </si>
  <si>
    <t>CAMPO LIMPO</t>
  </si>
  <si>
    <t>CangaÃ­ba</t>
  </si>
  <si>
    <t>CANGAIBA</t>
  </si>
  <si>
    <t>CapÃ£o Redondo</t>
  </si>
  <si>
    <t>CAPAO REDONDO</t>
  </si>
  <si>
    <t>CarrÃ£o</t>
  </si>
  <si>
    <t>CARRAO</t>
  </si>
  <si>
    <t>Casa Verde</t>
  </si>
  <si>
    <t>CASA VERDE</t>
  </si>
  <si>
    <t>Cidade Ademar</t>
  </si>
  <si>
    <t>CIDADE ADEMAR</t>
  </si>
  <si>
    <t>Cidade Dutra</t>
  </si>
  <si>
    <t>CIDADE DUTRA</t>
  </si>
  <si>
    <t>Cidade LÃ­der</t>
  </si>
  <si>
    <t>CIDADE LIDER</t>
  </si>
  <si>
    <t>Leste</t>
  </si>
  <si>
    <t>Cidade Tiradentes</t>
  </si>
  <si>
    <t>CIDADE TIRADENTES</t>
  </si>
  <si>
    <t>ConsolaÃ§Ã£o</t>
  </si>
  <si>
    <t>CONSOLACAO</t>
  </si>
  <si>
    <t>Cursino</t>
  </si>
  <si>
    <t>CURSINO</t>
  </si>
  <si>
    <t>Ermelino Matarazzo</t>
  </si>
  <si>
    <t>ERMELINO MATARAZZO</t>
  </si>
  <si>
    <t>Freguesia do Ã“</t>
  </si>
  <si>
    <t>FREGUESIA DO O</t>
  </si>
  <si>
    <t>GrajaÃº</t>
  </si>
  <si>
    <t>GRAJAU</t>
  </si>
  <si>
    <t>Guaianases</t>
  </si>
  <si>
    <t>GUAIANASES</t>
  </si>
  <si>
    <t>Iguatemi</t>
  </si>
  <si>
    <t>IGUATEMI</t>
  </si>
  <si>
    <t>Ipiranga</t>
  </si>
  <si>
    <t>IPIRANGA</t>
  </si>
  <si>
    <t>Itaim Bibi</t>
  </si>
  <si>
    <t>ITAIM BIBI</t>
  </si>
  <si>
    <t>Itaim Paulista</t>
  </si>
  <si>
    <t>ITAIM PAULISTA</t>
  </si>
  <si>
    <t>Itaquera</t>
  </si>
  <si>
    <t>ITAQUERA</t>
  </si>
  <si>
    <t>Jabaquara</t>
  </si>
  <si>
    <t>JABAQUARA</t>
  </si>
  <si>
    <t>JaÃ§anÃ£</t>
  </si>
  <si>
    <t>JACANA</t>
  </si>
  <si>
    <t>Jaguara</t>
  </si>
  <si>
    <t>JAGUARA</t>
  </si>
  <si>
    <t>JaguarÃ©</t>
  </si>
  <si>
    <t>JAGUARE</t>
  </si>
  <si>
    <t>JaraguÃ¡</t>
  </si>
  <si>
    <t>JARAGUA</t>
  </si>
  <si>
    <t>Jardim Ã‚ngela</t>
  </si>
  <si>
    <t>JARDIM ANGELA</t>
  </si>
  <si>
    <t>Jardim Helena</t>
  </si>
  <si>
    <t>JARDIM HELENA</t>
  </si>
  <si>
    <t>Jardim Paulista</t>
  </si>
  <si>
    <t>JARDIM PAULISTA</t>
  </si>
  <si>
    <t>Jardim SÃ£o LuÃ­s</t>
  </si>
  <si>
    <t>JARDIM SAO LUIS</t>
  </si>
  <si>
    <t>JosÃ© BonifÃ¡cio</t>
  </si>
  <si>
    <t>JOSE BONIFACIO</t>
  </si>
  <si>
    <t>Lajeado</t>
  </si>
  <si>
    <t>LAJEADO</t>
  </si>
  <si>
    <t>Lapa</t>
  </si>
  <si>
    <t>LAPA</t>
  </si>
  <si>
    <t>Liberdade</t>
  </si>
  <si>
    <t>LIBERDADE</t>
  </si>
  <si>
    <t>LimÃ£o</t>
  </si>
  <si>
    <t>LIMAO</t>
  </si>
  <si>
    <t>Mandaqui</t>
  </si>
  <si>
    <t>MANDAQUI</t>
  </si>
  <si>
    <t>Marsilac</t>
  </si>
  <si>
    <t>MARSILAC</t>
  </si>
  <si>
    <t>Moema</t>
  </si>
  <si>
    <t>MOEMA</t>
  </si>
  <si>
    <t>Mooca</t>
  </si>
  <si>
    <t>MOOCA</t>
  </si>
  <si>
    <t>Morumbi</t>
  </si>
  <si>
    <t>MORUMBI</t>
  </si>
  <si>
    <t>Parelheiros</t>
  </si>
  <si>
    <t>PARELHEIROS</t>
  </si>
  <si>
    <t>Pari</t>
  </si>
  <si>
    <t>PARI</t>
  </si>
  <si>
    <t>Parque do Carmo</t>
  </si>
  <si>
    <t>PARQUE DO CARMO</t>
  </si>
  <si>
    <t>Pedreira</t>
  </si>
  <si>
    <t>PEDREIRA</t>
  </si>
  <si>
    <t>Penha</t>
  </si>
  <si>
    <t>PENHA</t>
  </si>
  <si>
    <t>Perdizes</t>
  </si>
  <si>
    <t>PERDIZES</t>
  </si>
  <si>
    <t>Perus</t>
  </si>
  <si>
    <t>PERUS</t>
  </si>
  <si>
    <t>Pinheiros</t>
  </si>
  <si>
    <t>PINHEIROS</t>
  </si>
  <si>
    <t>Pirituba</t>
  </si>
  <si>
    <t>PIRITUBA</t>
  </si>
  <si>
    <t>Ponte Rasa</t>
  </si>
  <si>
    <t>PONTE RASA</t>
  </si>
  <si>
    <t>Raposo Tavares</t>
  </si>
  <si>
    <t>RAPOSO TAVARES</t>
  </si>
  <si>
    <t>RepÃºblica</t>
  </si>
  <si>
    <t>REPUBLICA</t>
  </si>
  <si>
    <t>Rio Pequeno</t>
  </si>
  <si>
    <t>RIO PEQUENO</t>
  </si>
  <si>
    <t>SacomÃ£</t>
  </si>
  <si>
    <t>SACOMA</t>
  </si>
  <si>
    <t>Santa CecÃ­lia</t>
  </si>
  <si>
    <t>SANTA CECILIA</t>
  </si>
  <si>
    <t>Santana</t>
  </si>
  <si>
    <t>SANTANA</t>
  </si>
  <si>
    <t>Santo Amaro</t>
  </si>
  <si>
    <t>SANTO AMARO</t>
  </si>
  <si>
    <t>SÃ£o Domingos</t>
  </si>
  <si>
    <t>SAO DOMINGOS</t>
  </si>
  <si>
    <t>SÃ£o Lucas</t>
  </si>
  <si>
    <t>SAO LUCAS</t>
  </si>
  <si>
    <t>SÃ£o Mateus</t>
  </si>
  <si>
    <t>SAO MATEUS</t>
  </si>
  <si>
    <t>SÃ£o Miguel</t>
  </si>
  <si>
    <t>SAO MIGUEL</t>
  </si>
  <si>
    <t>SÃ£o Rafael</t>
  </si>
  <si>
    <t>SAO RAFAEL</t>
  </si>
  <si>
    <t>Sapopemba</t>
  </si>
  <si>
    <t>SAPOPEMBA</t>
  </si>
  <si>
    <t>SaÃºde</t>
  </si>
  <si>
    <t>SAUDE</t>
  </si>
  <si>
    <t>SÃ©</t>
  </si>
  <si>
    <t>SE</t>
  </si>
  <si>
    <t>Socorro</t>
  </si>
  <si>
    <t>SOCORRO</t>
  </si>
  <si>
    <t>TatuapÃ©</t>
  </si>
  <si>
    <t>TATUAPE</t>
  </si>
  <si>
    <t>TremembÃ©</t>
  </si>
  <si>
    <t>TREMEMBE</t>
  </si>
  <si>
    <t>Tucuruvi</t>
  </si>
  <si>
    <t>TUCURUVI</t>
  </si>
  <si>
    <t>Vila Andrade</t>
  </si>
  <si>
    <t>VILA ANDRADE</t>
  </si>
  <si>
    <t>Vila CuruÃ§Ã¡</t>
  </si>
  <si>
    <t>VILA CURUCA</t>
  </si>
  <si>
    <t>Vila Formosa</t>
  </si>
  <si>
    <t>VILA FORMOSA</t>
  </si>
  <si>
    <t>Vila Guilherme</t>
  </si>
  <si>
    <t>VILA GUILHERME</t>
  </si>
  <si>
    <t>Vila JacuÃ­</t>
  </si>
  <si>
    <t>VILA JACUI</t>
  </si>
  <si>
    <t>Vila Leopoldina</t>
  </si>
  <si>
    <t>VILA LEOPOLDINA</t>
  </si>
  <si>
    <t>Vila Maria</t>
  </si>
  <si>
    <t>VILA MARIA</t>
  </si>
  <si>
    <t>Vila Mariana</t>
  </si>
  <si>
    <t>VILA MARIANA</t>
  </si>
  <si>
    <t>Vila Matilde</t>
  </si>
  <si>
    <t>VILA MATILDE</t>
  </si>
  <si>
    <t>Vila Medeiros</t>
  </si>
  <si>
    <t>VILA MEDEIROS</t>
  </si>
  <si>
    <t>Vila Prudente</t>
  </si>
  <si>
    <t>VILA PRUDENTE</t>
  </si>
  <si>
    <t>Vila SÃ´nia</t>
  </si>
  <si>
    <t>VILA SONIA</t>
  </si>
  <si>
    <t>log_E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</si>
</sst>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3C89-C163-412C-96B2-2DE5A3546DC7}">
  <dimension ref="A1:V97"/>
  <sheetViews>
    <sheetView tabSelected="1" workbookViewId="0">
      <selection activeCell="Q2" sqref="Q2:Q97"/>
    </sheetView>
  </sheetViews>
  <sheetFormatPr defaultRowHeight="14.4" x14ac:dyDescent="0.3"/>
  <cols>
    <col min="1" max="1" width="20.6640625" customWidth="1"/>
    <col min="3" max="3" width="19.21875" customWidth="1"/>
    <col min="5" max="5" width="18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218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21</v>
      </c>
      <c r="B2">
        <v>1</v>
      </c>
      <c r="C2" t="s">
        <v>22</v>
      </c>
      <c r="D2" t="s">
        <v>23</v>
      </c>
      <c r="E2">
        <v>355030801</v>
      </c>
      <c r="F2" t="s">
        <v>22</v>
      </c>
      <c r="G2">
        <v>4.8396198529999997E-2</v>
      </c>
      <c r="H2">
        <v>19.65484992</v>
      </c>
      <c r="I2">
        <v>33.154721010000003</v>
      </c>
      <c r="J2">
        <v>2.7076655459999999</v>
      </c>
      <c r="K2">
        <v>84.967352320000003</v>
      </c>
      <c r="L2">
        <v>9.8673617549999992</v>
      </c>
      <c r="M2">
        <v>5560.4165899999998</v>
      </c>
      <c r="N2">
        <v>0.2403337136</v>
      </c>
      <c r="O2">
        <v>102</v>
      </c>
      <c r="P2">
        <v>187.5820052</v>
      </c>
      <c r="Q2">
        <f>LOG(P2)</f>
        <v>2.2731911740367519</v>
      </c>
      <c r="R2">
        <v>0.54376217959999995</v>
      </c>
      <c r="S2">
        <v>102</v>
      </c>
      <c r="T2">
        <v>50421</v>
      </c>
      <c r="U2">
        <v>-46.571880780000001</v>
      </c>
      <c r="V2">
        <v>-23.566838499999999</v>
      </c>
    </row>
    <row r="3" spans="1:22" x14ac:dyDescent="0.3">
      <c r="A3" t="s">
        <v>24</v>
      </c>
      <c r="B3">
        <v>2</v>
      </c>
      <c r="C3" t="s">
        <v>25</v>
      </c>
      <c r="D3" t="s">
        <v>26</v>
      </c>
      <c r="E3">
        <v>355030802</v>
      </c>
      <c r="F3" t="s">
        <v>25</v>
      </c>
      <c r="G3">
        <v>0.77550167960000005</v>
      </c>
      <c r="H3">
        <v>46.532923779999997</v>
      </c>
      <c r="I3">
        <v>50.746227679999997</v>
      </c>
      <c r="J3">
        <v>0.67010008350000005</v>
      </c>
      <c r="K3">
        <v>95.572931049999994</v>
      </c>
      <c r="L3">
        <v>67.56682352</v>
      </c>
      <c r="M3">
        <v>15171.580900000001</v>
      </c>
      <c r="N3">
        <v>0.61125532890000001</v>
      </c>
      <c r="O3">
        <v>30</v>
      </c>
      <c r="P3">
        <v>73.602712969999999</v>
      </c>
      <c r="Q3">
        <f t="shared" ref="Q3:Q66" si="0">LOG(P3)</f>
        <v>1.8668938225737186</v>
      </c>
      <c r="R3">
        <v>0.40759367130000002</v>
      </c>
      <c r="S3">
        <v>30</v>
      </c>
      <c r="T3">
        <v>19784</v>
      </c>
      <c r="U3">
        <v>-46.711955580000001</v>
      </c>
      <c r="V3">
        <v>-23.547613080000001</v>
      </c>
    </row>
    <row r="4" spans="1:22" x14ac:dyDescent="0.3">
      <c r="A4" t="s">
        <v>27</v>
      </c>
      <c r="B4">
        <v>3</v>
      </c>
      <c r="C4" t="s">
        <v>28</v>
      </c>
      <c r="D4" t="s">
        <v>29</v>
      </c>
      <c r="E4">
        <v>355030803</v>
      </c>
      <c r="F4" t="s">
        <v>28</v>
      </c>
      <c r="G4">
        <v>-0.45108770840000001</v>
      </c>
      <c r="H4">
        <v>4.0029909630000002</v>
      </c>
      <c r="I4">
        <v>23.59033883</v>
      </c>
      <c r="J4">
        <v>12.29444393</v>
      </c>
      <c r="K4">
        <v>60.617164219999999</v>
      </c>
      <c r="L4">
        <v>0</v>
      </c>
      <c r="M4">
        <v>2279.8036029999998</v>
      </c>
      <c r="N4">
        <v>-9.8609097729999998E-2</v>
      </c>
      <c r="O4">
        <v>167</v>
      </c>
      <c r="P4">
        <v>265.18405680000001</v>
      </c>
      <c r="Q4">
        <f t="shared" si="0"/>
        <v>2.4235474101855226</v>
      </c>
      <c r="R4">
        <v>0.62975128290000004</v>
      </c>
      <c r="S4">
        <v>167</v>
      </c>
      <c r="T4">
        <v>71280</v>
      </c>
      <c r="U4">
        <v>-46.792949780000001</v>
      </c>
      <c r="V4">
        <v>-23.43087878</v>
      </c>
    </row>
    <row r="5" spans="1:22" x14ac:dyDescent="0.3">
      <c r="A5" t="s">
        <v>30</v>
      </c>
      <c r="B5">
        <v>4</v>
      </c>
      <c r="C5" t="s">
        <v>31</v>
      </c>
      <c r="D5" t="s">
        <v>23</v>
      </c>
      <c r="E5">
        <v>355030804</v>
      </c>
      <c r="F5" t="s">
        <v>31</v>
      </c>
      <c r="G5">
        <v>-0.21181576190000001</v>
      </c>
      <c r="H5">
        <v>9.2151273410000005</v>
      </c>
      <c r="I5">
        <v>26.518437169999999</v>
      </c>
      <c r="J5">
        <v>7.2313990769999998</v>
      </c>
      <c r="K5">
        <v>78.020183619999997</v>
      </c>
      <c r="L5">
        <v>3.974026426</v>
      </c>
      <c r="M5">
        <v>3611.9673379999999</v>
      </c>
      <c r="N5">
        <v>5.651022772E-2</v>
      </c>
      <c r="O5">
        <v>152</v>
      </c>
      <c r="P5">
        <v>217.82072590000001</v>
      </c>
      <c r="Q5">
        <f t="shared" si="0"/>
        <v>2.3380992010200967</v>
      </c>
      <c r="R5">
        <v>0.69782156569999998</v>
      </c>
      <c r="S5">
        <v>152</v>
      </c>
      <c r="T5">
        <v>58549</v>
      </c>
      <c r="U5">
        <v>-46.51561135</v>
      </c>
      <c r="V5">
        <v>-23.573813170000001</v>
      </c>
    </row>
    <row r="6" spans="1:22" x14ac:dyDescent="0.3">
      <c r="A6" t="s">
        <v>32</v>
      </c>
      <c r="B6">
        <v>5</v>
      </c>
      <c r="C6" t="s">
        <v>33</v>
      </c>
      <c r="D6" t="s">
        <v>23</v>
      </c>
      <c r="E6">
        <v>355030805</v>
      </c>
      <c r="F6" t="s">
        <v>33</v>
      </c>
      <c r="G6">
        <v>-0.25983494899999998</v>
      </c>
      <c r="H6">
        <v>9.6090472770000002</v>
      </c>
      <c r="I6">
        <v>21.877100939999998</v>
      </c>
      <c r="J6">
        <v>7.0501414889999996</v>
      </c>
      <c r="K6">
        <v>78.747926379999996</v>
      </c>
      <c r="L6">
        <v>0.58392378860000005</v>
      </c>
      <c r="M6">
        <v>3091.0639289999999</v>
      </c>
      <c r="N6">
        <v>2.1617309639999999E-2</v>
      </c>
      <c r="O6">
        <v>197</v>
      </c>
      <c r="P6">
        <v>257.06260909999997</v>
      </c>
      <c r="Q6">
        <f t="shared" si="0"/>
        <v>2.4100389111723084</v>
      </c>
      <c r="R6">
        <v>0.76635027050000004</v>
      </c>
      <c r="S6">
        <v>197</v>
      </c>
      <c r="T6">
        <v>69097</v>
      </c>
      <c r="U6">
        <v>-46.485812619999997</v>
      </c>
      <c r="V6">
        <v>-23.540145689999999</v>
      </c>
    </row>
    <row r="7" spans="1:22" x14ac:dyDescent="0.3">
      <c r="A7" t="s">
        <v>34</v>
      </c>
      <c r="B7">
        <v>6</v>
      </c>
      <c r="C7" t="s">
        <v>35</v>
      </c>
      <c r="D7" t="s">
        <v>26</v>
      </c>
      <c r="E7">
        <v>355030806</v>
      </c>
      <c r="F7" t="s">
        <v>35</v>
      </c>
      <c r="G7">
        <v>0.41501665040000002</v>
      </c>
      <c r="H7">
        <v>38.57412214</v>
      </c>
      <c r="I7">
        <v>45.499916319999997</v>
      </c>
      <c r="J7">
        <v>3.875603758</v>
      </c>
      <c r="K7">
        <v>90.052721379999994</v>
      </c>
      <c r="L7">
        <v>42.830249549999998</v>
      </c>
      <c r="M7">
        <v>8919.4869589999998</v>
      </c>
      <c r="N7">
        <v>0.39027625059999999</v>
      </c>
      <c r="O7">
        <v>39</v>
      </c>
      <c r="P7">
        <v>40.29845263</v>
      </c>
      <c r="Q7">
        <f t="shared" si="0"/>
        <v>1.6052883705293424</v>
      </c>
      <c r="R7">
        <v>0.96777909449999999</v>
      </c>
      <c r="S7">
        <v>39</v>
      </c>
      <c r="T7">
        <v>10832</v>
      </c>
      <c r="U7">
        <v>-46.674087069999999</v>
      </c>
      <c r="V7">
        <v>-23.521195580000001</v>
      </c>
    </row>
    <row r="8" spans="1:22" x14ac:dyDescent="0.3">
      <c r="A8" t="s">
        <v>36</v>
      </c>
      <c r="B8">
        <v>7</v>
      </c>
      <c r="C8" t="s">
        <v>37</v>
      </c>
      <c r="D8" t="s">
        <v>26</v>
      </c>
      <c r="E8">
        <v>355030807</v>
      </c>
      <c r="F8" t="s">
        <v>37</v>
      </c>
      <c r="G8">
        <v>0.39363508450000001</v>
      </c>
      <c r="H8">
        <v>38.324112540000002</v>
      </c>
      <c r="I8">
        <v>52.273969039999997</v>
      </c>
      <c r="J8">
        <v>1.647875717</v>
      </c>
      <c r="K8">
        <v>88.112750009999999</v>
      </c>
      <c r="L8">
        <v>32.727063010000002</v>
      </c>
      <c r="M8">
        <v>7817.996384</v>
      </c>
      <c r="N8">
        <v>0.31944930300000002</v>
      </c>
      <c r="O8">
        <v>63</v>
      </c>
      <c r="P8">
        <v>151.0113082</v>
      </c>
      <c r="Q8">
        <f t="shared" si="0"/>
        <v>2.1790094698426845</v>
      </c>
      <c r="R8">
        <v>0.41718730030000001</v>
      </c>
      <c r="S8">
        <v>63</v>
      </c>
      <c r="T8">
        <v>40591</v>
      </c>
      <c r="U8">
        <v>-46.647579999999998</v>
      </c>
      <c r="V8">
        <v>-23.560855870000001</v>
      </c>
    </row>
    <row r="9" spans="1:22" x14ac:dyDescent="0.3">
      <c r="A9" t="s">
        <v>38</v>
      </c>
      <c r="B9">
        <v>8</v>
      </c>
      <c r="C9" t="s">
        <v>39</v>
      </c>
      <c r="D9" t="s">
        <v>23</v>
      </c>
      <c r="E9">
        <v>355030808</v>
      </c>
      <c r="F9" t="s">
        <v>39</v>
      </c>
      <c r="G9">
        <v>7.9801395529999999E-2</v>
      </c>
      <c r="H9">
        <v>20.7941118</v>
      </c>
      <c r="I9">
        <v>38.353694470000001</v>
      </c>
      <c r="J9">
        <v>4.6511564569999999</v>
      </c>
      <c r="K9">
        <v>85.213402939999995</v>
      </c>
      <c r="L9">
        <v>16.45329328</v>
      </c>
      <c r="M9">
        <v>5714.288861</v>
      </c>
      <c r="N9">
        <v>0.211861155</v>
      </c>
      <c r="O9">
        <v>138</v>
      </c>
      <c r="P9">
        <v>146.55065049999999</v>
      </c>
      <c r="Q9">
        <f t="shared" si="0"/>
        <v>2.1659877504983265</v>
      </c>
      <c r="R9">
        <v>0.94165395740000002</v>
      </c>
      <c r="S9">
        <v>138</v>
      </c>
      <c r="T9">
        <v>39392</v>
      </c>
      <c r="U9">
        <v>-46.594824600000003</v>
      </c>
      <c r="V9">
        <v>-23.5376032</v>
      </c>
    </row>
    <row r="10" spans="1:22" x14ac:dyDescent="0.3">
      <c r="A10" t="s">
        <v>40</v>
      </c>
      <c r="B10">
        <v>9</v>
      </c>
      <c r="C10" t="s">
        <v>41</v>
      </c>
      <c r="D10" t="s">
        <v>26</v>
      </c>
      <c r="E10">
        <v>355030809</v>
      </c>
      <c r="F10" t="s">
        <v>41</v>
      </c>
      <c r="G10">
        <v>-6.4461926210000006E-2</v>
      </c>
      <c r="H10">
        <v>13.85976584</v>
      </c>
      <c r="I10">
        <v>46.51603841</v>
      </c>
      <c r="J10">
        <v>10.673399870000001</v>
      </c>
      <c r="K10">
        <v>76.239859929999994</v>
      </c>
      <c r="L10">
        <v>29.222754120000001</v>
      </c>
      <c r="M10">
        <v>3448.1386990000001</v>
      </c>
      <c r="N10">
        <v>-3.8660852960000001E-3</v>
      </c>
      <c r="O10">
        <v>74</v>
      </c>
      <c r="P10">
        <v>115.68319649999999</v>
      </c>
      <c r="Q10">
        <f t="shared" si="0"/>
        <v>2.0632702803233109</v>
      </c>
      <c r="R10">
        <v>0.63967803649999999</v>
      </c>
      <c r="S10">
        <v>74</v>
      </c>
      <c r="T10">
        <v>31095</v>
      </c>
      <c r="U10">
        <v>-46.636813050000001</v>
      </c>
      <c r="V10">
        <v>-23.526068970000001</v>
      </c>
    </row>
    <row r="11" spans="1:22" x14ac:dyDescent="0.3">
      <c r="A11" t="s">
        <v>42</v>
      </c>
      <c r="B11">
        <v>10</v>
      </c>
      <c r="C11" t="s">
        <v>43</v>
      </c>
      <c r="D11" t="s">
        <v>23</v>
      </c>
      <c r="E11">
        <v>355030810</v>
      </c>
      <c r="F11" t="s">
        <v>43</v>
      </c>
      <c r="G11">
        <v>-0.11483687250000001</v>
      </c>
      <c r="H11">
        <v>10.9970336</v>
      </c>
      <c r="I11">
        <v>45.119357190000002</v>
      </c>
      <c r="J11">
        <v>7.9282658799999997</v>
      </c>
      <c r="K11">
        <v>79.710472190000004</v>
      </c>
      <c r="L11">
        <v>4.1998731200000003</v>
      </c>
      <c r="M11">
        <v>3355.5398150000001</v>
      </c>
      <c r="N11">
        <v>1.681696777E-2</v>
      </c>
      <c r="O11">
        <v>127</v>
      </c>
      <c r="P11">
        <v>100.4373454</v>
      </c>
      <c r="Q11">
        <f t="shared" si="0"/>
        <v>2.0018952256123002</v>
      </c>
      <c r="R11">
        <v>1.2644698990000001</v>
      </c>
      <c r="S11">
        <v>127</v>
      </c>
      <c r="T11">
        <v>26997</v>
      </c>
      <c r="U11">
        <v>-46.617469200000002</v>
      </c>
      <c r="V11">
        <v>-23.54374683</v>
      </c>
    </row>
    <row r="12" spans="1:22" x14ac:dyDescent="0.3">
      <c r="A12" t="s">
        <v>44</v>
      </c>
      <c r="B12">
        <v>11</v>
      </c>
      <c r="C12" t="s">
        <v>45</v>
      </c>
      <c r="D12" t="s">
        <v>29</v>
      </c>
      <c r="E12">
        <v>355030811</v>
      </c>
      <c r="F12" t="s">
        <v>45</v>
      </c>
      <c r="G12">
        <v>-0.52007013680000003</v>
      </c>
      <c r="H12">
        <v>3.658374689</v>
      </c>
      <c r="I12">
        <v>20.204721639999999</v>
      </c>
      <c r="J12">
        <v>16.492791390000001</v>
      </c>
      <c r="K12">
        <v>58.393438799999998</v>
      </c>
      <c r="L12">
        <v>0.69727827720000002</v>
      </c>
      <c r="M12">
        <v>2213.4042250000002</v>
      </c>
      <c r="N12">
        <v>-0.11062312470000001</v>
      </c>
      <c r="O12">
        <v>687</v>
      </c>
      <c r="P12">
        <v>951.98397780000005</v>
      </c>
      <c r="Q12">
        <f t="shared" si="0"/>
        <v>2.9786296391285885</v>
      </c>
      <c r="R12">
        <v>0.7216508009</v>
      </c>
      <c r="S12">
        <v>687</v>
      </c>
      <c r="T12">
        <v>255888</v>
      </c>
      <c r="U12">
        <v>-46.688388850000003</v>
      </c>
      <c r="V12">
        <v>-23.448592479999999</v>
      </c>
    </row>
    <row r="13" spans="1:22" x14ac:dyDescent="0.3">
      <c r="A13" t="s">
        <v>46</v>
      </c>
      <c r="B13">
        <v>12</v>
      </c>
      <c r="C13" t="s">
        <v>47</v>
      </c>
      <c r="D13" t="s">
        <v>26</v>
      </c>
      <c r="E13">
        <v>355030812</v>
      </c>
      <c r="F13" t="s">
        <v>47</v>
      </c>
      <c r="G13">
        <v>0.35413739259999999</v>
      </c>
      <c r="H13">
        <v>35.306571730000002</v>
      </c>
      <c r="I13">
        <v>36.71110453</v>
      </c>
      <c r="J13">
        <v>2.6543379150000002</v>
      </c>
      <c r="K13">
        <v>94.041043340000002</v>
      </c>
      <c r="L13">
        <v>40.515363149999999</v>
      </c>
      <c r="M13">
        <v>8096.9490390000001</v>
      </c>
      <c r="N13">
        <v>0.37780809100000001</v>
      </c>
      <c r="O13">
        <v>63</v>
      </c>
      <c r="P13">
        <v>111.1964966</v>
      </c>
      <c r="Q13">
        <f t="shared" si="0"/>
        <v>2.0460911044110004</v>
      </c>
      <c r="R13">
        <v>0.56656461260000002</v>
      </c>
      <c r="S13">
        <v>63</v>
      </c>
      <c r="T13">
        <v>29889</v>
      </c>
      <c r="U13">
        <v>-46.726275909999998</v>
      </c>
      <c r="V13">
        <v>-23.57019485</v>
      </c>
    </row>
    <row r="14" spans="1:22" x14ac:dyDescent="0.3">
      <c r="A14" t="s">
        <v>48</v>
      </c>
      <c r="B14">
        <v>13</v>
      </c>
      <c r="C14" t="s">
        <v>49</v>
      </c>
      <c r="D14" t="s">
        <v>29</v>
      </c>
      <c r="E14">
        <v>355030813</v>
      </c>
      <c r="F14" t="s">
        <v>49</v>
      </c>
      <c r="G14">
        <v>-0.35178926059999999</v>
      </c>
      <c r="H14">
        <v>7.3697925030000002</v>
      </c>
      <c r="I14">
        <v>26.227085840000001</v>
      </c>
      <c r="J14">
        <v>10.72179017</v>
      </c>
      <c r="K14">
        <v>65.235911590000001</v>
      </c>
      <c r="L14">
        <v>1.9612563540000001</v>
      </c>
      <c r="M14">
        <v>2836.5256720000002</v>
      </c>
      <c r="N14">
        <v>-3.074065284E-2</v>
      </c>
      <c r="O14">
        <v>436</v>
      </c>
      <c r="P14">
        <v>460.57872359999999</v>
      </c>
      <c r="Q14">
        <f t="shared" si="0"/>
        <v>2.6633038718901809</v>
      </c>
      <c r="R14">
        <v>0.94663513020000001</v>
      </c>
      <c r="S14">
        <v>436</v>
      </c>
      <c r="T14">
        <v>123801</v>
      </c>
      <c r="U14">
        <v>-46.662090290000002</v>
      </c>
      <c r="V14">
        <v>-23.454421020000002</v>
      </c>
    </row>
    <row r="15" spans="1:22" x14ac:dyDescent="0.3">
      <c r="A15" t="s">
        <v>50</v>
      </c>
      <c r="B15">
        <v>14</v>
      </c>
      <c r="C15" t="s">
        <v>51</v>
      </c>
      <c r="D15" t="s">
        <v>26</v>
      </c>
      <c r="E15">
        <v>355030814</v>
      </c>
      <c r="F15" t="s">
        <v>51</v>
      </c>
      <c r="G15">
        <v>0.19992927090000001</v>
      </c>
      <c r="H15">
        <v>22.251985189999999</v>
      </c>
      <c r="I15">
        <v>45.135208810000002</v>
      </c>
      <c r="J15">
        <v>2.6215803539999998</v>
      </c>
      <c r="K15">
        <v>88.168484079999999</v>
      </c>
      <c r="L15">
        <v>17.764879019999999</v>
      </c>
      <c r="M15">
        <v>7159.8695260000004</v>
      </c>
      <c r="N15">
        <v>0.2703749198</v>
      </c>
      <c r="O15">
        <v>67</v>
      </c>
      <c r="P15">
        <v>105.0654174</v>
      </c>
      <c r="Q15">
        <f t="shared" si="0"/>
        <v>2.0214597902065612</v>
      </c>
      <c r="R15">
        <v>0.63769793799999996</v>
      </c>
      <c r="S15">
        <v>67</v>
      </c>
      <c r="T15">
        <v>28241</v>
      </c>
      <c r="U15">
        <v>-46.616951329999999</v>
      </c>
      <c r="V15">
        <v>-23.564387100000001</v>
      </c>
    </row>
    <row r="16" spans="1:22" x14ac:dyDescent="0.3">
      <c r="A16" t="s">
        <v>52</v>
      </c>
      <c r="B16">
        <v>15</v>
      </c>
      <c r="C16" t="s">
        <v>53</v>
      </c>
      <c r="D16" t="s">
        <v>54</v>
      </c>
      <c r="E16">
        <v>355030815</v>
      </c>
      <c r="F16" t="s">
        <v>53</v>
      </c>
      <c r="G16">
        <v>0.65463339769999995</v>
      </c>
      <c r="H16">
        <v>41.456254639999997</v>
      </c>
      <c r="I16">
        <v>39.193962120000002</v>
      </c>
      <c r="J16">
        <v>3.4240729939999999</v>
      </c>
      <c r="K16">
        <v>93.638055530000003</v>
      </c>
      <c r="L16">
        <v>77.215102669999993</v>
      </c>
      <c r="M16">
        <v>15369.93426</v>
      </c>
      <c r="N16">
        <v>0.50561181099999997</v>
      </c>
      <c r="O16">
        <v>90</v>
      </c>
      <c r="P16">
        <v>139.5638988</v>
      </c>
      <c r="Q16">
        <f t="shared" si="0"/>
        <v>2.1447730932185722</v>
      </c>
      <c r="R16">
        <v>0.64486590560000001</v>
      </c>
      <c r="S16">
        <v>90</v>
      </c>
      <c r="T16">
        <v>37514</v>
      </c>
      <c r="U16">
        <v>-46.667911779999997</v>
      </c>
      <c r="V16">
        <v>-23.628076409999998</v>
      </c>
    </row>
    <row r="17" spans="1:22" x14ac:dyDescent="0.3">
      <c r="A17" t="s">
        <v>55</v>
      </c>
      <c r="B17">
        <v>16</v>
      </c>
      <c r="C17" t="s">
        <v>56</v>
      </c>
      <c r="D17" t="s">
        <v>54</v>
      </c>
      <c r="E17">
        <v>355030816</v>
      </c>
      <c r="F17" t="s">
        <v>56</v>
      </c>
      <c r="G17">
        <v>0.2065999298</v>
      </c>
      <c r="H17">
        <v>26.7418342</v>
      </c>
      <c r="I17">
        <v>34.091805440000002</v>
      </c>
      <c r="J17">
        <v>3.0079199679999999</v>
      </c>
      <c r="K17">
        <v>87.562266899999997</v>
      </c>
      <c r="L17">
        <v>32.560548799999999</v>
      </c>
      <c r="M17">
        <v>6793.1165279999996</v>
      </c>
      <c r="N17">
        <v>0.32233661740000003</v>
      </c>
      <c r="O17">
        <v>183</v>
      </c>
      <c r="P17">
        <v>258.40936310000001</v>
      </c>
      <c r="Q17">
        <f t="shared" si="0"/>
        <v>2.4123082456581608</v>
      </c>
      <c r="R17">
        <v>0.70817867349999997</v>
      </c>
      <c r="S17">
        <v>183</v>
      </c>
      <c r="T17">
        <v>69459</v>
      </c>
      <c r="U17">
        <v>-46.687513940000002</v>
      </c>
      <c r="V17">
        <v>-23.674624690000002</v>
      </c>
    </row>
    <row r="18" spans="1:22" x14ac:dyDescent="0.3">
      <c r="A18" t="s">
        <v>57</v>
      </c>
      <c r="B18">
        <v>17</v>
      </c>
      <c r="C18" t="s">
        <v>58</v>
      </c>
      <c r="D18" t="s">
        <v>54</v>
      </c>
      <c r="E18">
        <v>355030817</v>
      </c>
      <c r="F18" t="s">
        <v>58</v>
      </c>
      <c r="G18">
        <v>-0.36224217450000001</v>
      </c>
      <c r="H18">
        <v>8.024341819</v>
      </c>
      <c r="I18">
        <v>24.459180079999999</v>
      </c>
      <c r="J18">
        <v>12.689307019999999</v>
      </c>
      <c r="K18">
        <v>68.814828579999997</v>
      </c>
      <c r="L18">
        <v>3.093128283</v>
      </c>
      <c r="M18">
        <v>2987.9345039999998</v>
      </c>
      <c r="N18">
        <v>-5.6558375899999999E-2</v>
      </c>
      <c r="O18">
        <v>660</v>
      </c>
      <c r="P18">
        <v>697.86041760000001</v>
      </c>
      <c r="Q18">
        <f t="shared" si="0"/>
        <v>2.8437685659926148</v>
      </c>
      <c r="R18">
        <v>0.94574786499999997</v>
      </c>
      <c r="S18">
        <v>660</v>
      </c>
      <c r="T18">
        <v>187581</v>
      </c>
      <c r="U18">
        <v>-46.763500950000001</v>
      </c>
      <c r="V18">
        <v>-23.635856199999999</v>
      </c>
    </row>
    <row r="19" spans="1:22" x14ac:dyDescent="0.3">
      <c r="A19" t="s">
        <v>59</v>
      </c>
      <c r="B19">
        <v>18</v>
      </c>
      <c r="C19" t="s">
        <v>60</v>
      </c>
      <c r="D19" t="s">
        <v>23</v>
      </c>
      <c r="E19">
        <v>355030818</v>
      </c>
      <c r="F19" t="s">
        <v>60</v>
      </c>
      <c r="G19">
        <v>-0.28434702890000002</v>
      </c>
      <c r="H19">
        <v>8.2233922219999993</v>
      </c>
      <c r="I19">
        <v>23.936076029999999</v>
      </c>
      <c r="J19">
        <v>7.3308736039999998</v>
      </c>
      <c r="K19">
        <v>72.146340600000002</v>
      </c>
      <c r="L19">
        <v>1.1199259210000001</v>
      </c>
      <c r="M19">
        <v>3003.6844110000002</v>
      </c>
      <c r="N19">
        <v>2.5481547449999999E-2</v>
      </c>
      <c r="O19">
        <v>323</v>
      </c>
      <c r="P19">
        <v>389.35329200000001</v>
      </c>
      <c r="Q19">
        <f t="shared" si="0"/>
        <v>2.590343851027519</v>
      </c>
      <c r="R19">
        <v>0.82958076030000005</v>
      </c>
      <c r="S19">
        <v>323</v>
      </c>
      <c r="T19">
        <v>104656</v>
      </c>
      <c r="U19">
        <v>-46.520444310000002</v>
      </c>
      <c r="V19">
        <v>-23.496960999999999</v>
      </c>
    </row>
    <row r="20" spans="1:22" x14ac:dyDescent="0.3">
      <c r="A20" t="s">
        <v>61</v>
      </c>
      <c r="B20">
        <v>19</v>
      </c>
      <c r="C20" t="s">
        <v>62</v>
      </c>
      <c r="D20" t="s">
        <v>54</v>
      </c>
      <c r="E20">
        <v>355030819</v>
      </c>
      <c r="F20" t="s">
        <v>62</v>
      </c>
      <c r="G20">
        <v>-0.48491029410000003</v>
      </c>
      <c r="H20">
        <v>4.7082734879999997</v>
      </c>
      <c r="I20">
        <v>17.55858503</v>
      </c>
      <c r="J20">
        <v>14.39268788</v>
      </c>
      <c r="K20">
        <v>64.257281849999998</v>
      </c>
      <c r="L20">
        <v>0.68104443650000002</v>
      </c>
      <c r="M20">
        <v>2379.2004539999998</v>
      </c>
      <c r="N20">
        <v>-0.114408179</v>
      </c>
      <c r="O20">
        <v>1081</v>
      </c>
      <c r="P20">
        <v>944.36477260000004</v>
      </c>
      <c r="Q20">
        <f t="shared" si="0"/>
        <v>2.9751397783317457</v>
      </c>
      <c r="R20">
        <v>1.144684799</v>
      </c>
      <c r="S20">
        <v>1081</v>
      </c>
      <c r="T20">
        <v>253840</v>
      </c>
      <c r="U20">
        <v>-46.780511140000002</v>
      </c>
      <c r="V20">
        <v>-23.66877144</v>
      </c>
    </row>
    <row r="21" spans="1:22" x14ac:dyDescent="0.3">
      <c r="A21" t="s">
        <v>63</v>
      </c>
      <c r="B21">
        <v>20</v>
      </c>
      <c r="C21" t="s">
        <v>64</v>
      </c>
      <c r="D21" t="s">
        <v>23</v>
      </c>
      <c r="E21">
        <v>355030820</v>
      </c>
      <c r="F21" t="s">
        <v>64</v>
      </c>
      <c r="G21">
        <v>2.3589947999999999E-2</v>
      </c>
      <c r="H21">
        <v>18.14948965</v>
      </c>
      <c r="I21">
        <v>30.647140459999999</v>
      </c>
      <c r="J21">
        <v>2.635548193</v>
      </c>
      <c r="K21">
        <v>85.203326520000005</v>
      </c>
      <c r="L21">
        <v>11.71829879</v>
      </c>
      <c r="M21">
        <v>5320.9255510000003</v>
      </c>
      <c r="N21">
        <v>0.21802601599999999</v>
      </c>
      <c r="O21">
        <v>83</v>
      </c>
      <c r="P21">
        <v>190.9674919</v>
      </c>
      <c r="Q21">
        <f t="shared" si="0"/>
        <v>2.2809594442632819</v>
      </c>
      <c r="R21">
        <v>0.43462894749999997</v>
      </c>
      <c r="S21">
        <v>83</v>
      </c>
      <c r="T21">
        <v>51331</v>
      </c>
      <c r="U21">
        <v>-46.538294399999998</v>
      </c>
      <c r="V21">
        <v>-23.551079439999999</v>
      </c>
    </row>
    <row r="22" spans="1:22" x14ac:dyDescent="0.3">
      <c r="A22" t="s">
        <v>65</v>
      </c>
      <c r="B22">
        <v>21</v>
      </c>
      <c r="C22" t="s">
        <v>66</v>
      </c>
      <c r="D22" t="s">
        <v>29</v>
      </c>
      <c r="E22">
        <v>355030821</v>
      </c>
      <c r="F22" t="s">
        <v>66</v>
      </c>
      <c r="G22">
        <v>2.2481613939999999E-2</v>
      </c>
      <c r="H22">
        <v>19.30894872</v>
      </c>
      <c r="I22">
        <v>37.870065060000002</v>
      </c>
      <c r="J22">
        <v>3.6908698150000001</v>
      </c>
      <c r="K22">
        <v>79.314985429999993</v>
      </c>
      <c r="L22">
        <v>12.05408752</v>
      </c>
      <c r="M22">
        <v>4876.0421919999999</v>
      </c>
      <c r="N22">
        <v>0.19813318669999999</v>
      </c>
      <c r="O22">
        <v>160</v>
      </c>
      <c r="P22">
        <v>225.2278732</v>
      </c>
      <c r="Q22">
        <f t="shared" si="0"/>
        <v>2.3526221358590629</v>
      </c>
      <c r="R22">
        <v>0.71039164789999998</v>
      </c>
      <c r="S22">
        <v>160</v>
      </c>
      <c r="T22">
        <v>60540</v>
      </c>
      <c r="U22">
        <v>-46.657439109999999</v>
      </c>
      <c r="V22">
        <v>-23.500987689999999</v>
      </c>
    </row>
    <row r="23" spans="1:22" x14ac:dyDescent="0.3">
      <c r="A23" t="s">
        <v>67</v>
      </c>
      <c r="B23">
        <v>22</v>
      </c>
      <c r="C23" t="s">
        <v>68</v>
      </c>
      <c r="D23" t="s">
        <v>54</v>
      </c>
      <c r="E23">
        <v>355030822</v>
      </c>
      <c r="F23" t="s">
        <v>68</v>
      </c>
      <c r="G23">
        <v>-0.40760478020000002</v>
      </c>
      <c r="H23">
        <v>6.5071357919999997</v>
      </c>
      <c r="I23">
        <v>22.789413010000001</v>
      </c>
      <c r="J23">
        <v>14.24673544</v>
      </c>
      <c r="K23">
        <v>63.091002260000003</v>
      </c>
      <c r="L23">
        <v>4.8224527899999998</v>
      </c>
      <c r="M23">
        <v>3594.4487730000001</v>
      </c>
      <c r="N23">
        <v>-7.7038751360000005E-2</v>
      </c>
      <c r="O23">
        <v>910</v>
      </c>
      <c r="P23">
        <v>876.77036840000005</v>
      </c>
      <c r="Q23">
        <f t="shared" si="0"/>
        <v>2.9428858638389399</v>
      </c>
      <c r="R23">
        <v>1.0379000389999999</v>
      </c>
      <c r="S23">
        <v>910</v>
      </c>
      <c r="T23">
        <v>235671</v>
      </c>
      <c r="U23">
        <v>-46.656811730000001</v>
      </c>
      <c r="V23">
        <v>-23.67379442</v>
      </c>
    </row>
    <row r="24" spans="1:22" x14ac:dyDescent="0.3">
      <c r="A24" t="s">
        <v>69</v>
      </c>
      <c r="B24">
        <v>23</v>
      </c>
      <c r="C24" t="s">
        <v>70</v>
      </c>
      <c r="D24" t="s">
        <v>54</v>
      </c>
      <c r="E24">
        <v>355030823</v>
      </c>
      <c r="F24" t="s">
        <v>70</v>
      </c>
      <c r="G24">
        <v>-0.32166653200000001</v>
      </c>
      <c r="H24">
        <v>8.4856665329999998</v>
      </c>
      <c r="I24">
        <v>23.874193770000002</v>
      </c>
      <c r="J24">
        <v>11.41576534</v>
      </c>
      <c r="K24">
        <v>72.996677140000003</v>
      </c>
      <c r="L24">
        <v>3.4516351539999999</v>
      </c>
      <c r="M24">
        <v>3028.898373</v>
      </c>
      <c r="N24">
        <v>-1.963867452E-2</v>
      </c>
      <c r="O24">
        <v>479</v>
      </c>
      <c r="P24">
        <v>590.28378759999998</v>
      </c>
      <c r="Q24">
        <f t="shared" si="0"/>
        <v>2.7710608552988689</v>
      </c>
      <c r="R24">
        <v>0.81147409110000002</v>
      </c>
      <c r="S24">
        <v>479</v>
      </c>
      <c r="T24">
        <v>158665</v>
      </c>
      <c r="U24">
        <v>-46.702397300000001</v>
      </c>
      <c r="V24">
        <v>-23.725763059999998</v>
      </c>
    </row>
    <row r="25" spans="1:22" x14ac:dyDescent="0.3">
      <c r="A25" t="s">
        <v>71</v>
      </c>
      <c r="B25">
        <v>24</v>
      </c>
      <c r="C25" t="s">
        <v>72</v>
      </c>
      <c r="D25" t="s">
        <v>73</v>
      </c>
      <c r="E25">
        <v>355030824</v>
      </c>
      <c r="F25" t="s">
        <v>72</v>
      </c>
      <c r="G25">
        <v>-0.34847633020000002</v>
      </c>
      <c r="H25">
        <v>7.7144884459999998</v>
      </c>
      <c r="I25">
        <v>22.154660580000002</v>
      </c>
      <c r="J25">
        <v>10.600477379999999</v>
      </c>
      <c r="K25">
        <v>70.275857549999998</v>
      </c>
      <c r="L25">
        <v>0.80692987999999999</v>
      </c>
      <c r="M25">
        <v>2892.4169139999999</v>
      </c>
      <c r="N25">
        <v>-1.7041827129999999E-2</v>
      </c>
      <c r="O25">
        <v>366</v>
      </c>
      <c r="P25">
        <v>391.02371340000002</v>
      </c>
      <c r="Q25">
        <f t="shared" si="0"/>
        <v>2.5922030957244719</v>
      </c>
      <c r="R25">
        <v>0.93600461410000002</v>
      </c>
      <c r="S25">
        <v>366</v>
      </c>
      <c r="T25">
        <v>105105</v>
      </c>
      <c r="U25">
        <v>-46.49129963</v>
      </c>
      <c r="V25">
        <v>-23.56201669</v>
      </c>
    </row>
    <row r="26" spans="1:22" x14ac:dyDescent="0.3">
      <c r="A26" t="s">
        <v>74</v>
      </c>
      <c r="B26">
        <v>25</v>
      </c>
      <c r="C26" t="s">
        <v>75</v>
      </c>
      <c r="D26" t="s">
        <v>73</v>
      </c>
      <c r="E26">
        <v>355030825</v>
      </c>
      <c r="F26" t="s">
        <v>75</v>
      </c>
      <c r="G26">
        <v>-0.56230722160000002</v>
      </c>
      <c r="H26">
        <v>2.5216117410000001</v>
      </c>
      <c r="I26">
        <v>12.525355299999999</v>
      </c>
      <c r="J26">
        <v>18.481259659999999</v>
      </c>
      <c r="K26">
        <v>69.660633169999997</v>
      </c>
      <c r="L26">
        <v>0</v>
      </c>
      <c r="M26">
        <v>1783.3835340000001</v>
      </c>
      <c r="N26">
        <v>-0.16311955719999999</v>
      </c>
      <c r="O26">
        <v>1349</v>
      </c>
      <c r="P26">
        <v>794.04916319999995</v>
      </c>
      <c r="Q26">
        <f t="shared" si="0"/>
        <v>2.8998473924088102</v>
      </c>
      <c r="R26">
        <v>1.6988872509999999</v>
      </c>
      <c r="S26">
        <v>1349</v>
      </c>
      <c r="T26">
        <v>213436</v>
      </c>
      <c r="U26">
        <v>-46.400844450000001</v>
      </c>
      <c r="V26">
        <v>-23.584810000000001</v>
      </c>
    </row>
    <row r="27" spans="1:22" x14ac:dyDescent="0.3">
      <c r="A27" t="s">
        <v>76</v>
      </c>
      <c r="B27">
        <v>26</v>
      </c>
      <c r="C27" t="s">
        <v>77</v>
      </c>
      <c r="D27" t="s">
        <v>26</v>
      </c>
      <c r="E27">
        <v>355030826</v>
      </c>
      <c r="F27" t="s">
        <v>77</v>
      </c>
      <c r="G27">
        <v>0.64892060119999995</v>
      </c>
      <c r="H27">
        <v>46.747037779999999</v>
      </c>
      <c r="I27">
        <v>44.042094229999996</v>
      </c>
      <c r="J27">
        <v>0.48750703810000001</v>
      </c>
      <c r="K27">
        <v>96.429183929999994</v>
      </c>
      <c r="L27">
        <v>60.636136200000003</v>
      </c>
      <c r="M27">
        <v>12447.06235</v>
      </c>
      <c r="N27">
        <v>0.51017369509999999</v>
      </c>
      <c r="O27">
        <v>10</v>
      </c>
      <c r="P27">
        <v>89.640991159999999</v>
      </c>
      <c r="Q27">
        <f t="shared" si="0"/>
        <v>1.9525066498815298</v>
      </c>
      <c r="R27">
        <v>0.111556107</v>
      </c>
      <c r="S27">
        <v>10</v>
      </c>
      <c r="T27">
        <v>24095</v>
      </c>
      <c r="U27">
        <v>-46.660228689999997</v>
      </c>
      <c r="V27">
        <v>-23.548692849999998</v>
      </c>
    </row>
    <row r="28" spans="1:22" x14ac:dyDescent="0.3">
      <c r="A28" t="s">
        <v>78</v>
      </c>
      <c r="B28">
        <v>27</v>
      </c>
      <c r="C28" t="s">
        <v>79</v>
      </c>
      <c r="D28" t="s">
        <v>23</v>
      </c>
      <c r="E28">
        <v>355030827</v>
      </c>
      <c r="F28" t="s">
        <v>79</v>
      </c>
      <c r="G28">
        <v>0.12029587279999999</v>
      </c>
      <c r="H28">
        <v>24.38582512</v>
      </c>
      <c r="I28">
        <v>38.985089160000001</v>
      </c>
      <c r="J28">
        <v>4.036438392</v>
      </c>
      <c r="K28">
        <v>84.000972410000003</v>
      </c>
      <c r="L28">
        <v>19.3912388</v>
      </c>
      <c r="M28">
        <v>6159.2095859999999</v>
      </c>
      <c r="N28">
        <v>0.22406692459999999</v>
      </c>
      <c r="O28">
        <v>130</v>
      </c>
      <c r="P28">
        <v>277.53550280000002</v>
      </c>
      <c r="Q28">
        <f t="shared" si="0"/>
        <v>2.4433185466799534</v>
      </c>
      <c r="R28">
        <v>0.46840854119999997</v>
      </c>
      <c r="S28">
        <v>130</v>
      </c>
      <c r="T28">
        <v>74600</v>
      </c>
      <c r="U28">
        <v>-46.620716610000002</v>
      </c>
      <c r="V28">
        <v>-23.631427769999998</v>
      </c>
    </row>
    <row r="29" spans="1:22" x14ac:dyDescent="0.3">
      <c r="A29" t="s">
        <v>80</v>
      </c>
      <c r="B29">
        <v>28</v>
      </c>
      <c r="C29" t="s">
        <v>81</v>
      </c>
      <c r="D29" t="s">
        <v>73</v>
      </c>
      <c r="E29">
        <v>355030828</v>
      </c>
      <c r="F29" t="s">
        <v>81</v>
      </c>
      <c r="G29">
        <v>-0.34938741449999999</v>
      </c>
      <c r="H29">
        <v>6.7022204460000001</v>
      </c>
      <c r="I29">
        <v>26.2579025</v>
      </c>
      <c r="J29">
        <v>10.508924670000001</v>
      </c>
      <c r="K29">
        <v>66.670119470000003</v>
      </c>
      <c r="L29">
        <v>0.23781061319999999</v>
      </c>
      <c r="M29">
        <v>2807.5964199999999</v>
      </c>
      <c r="N29">
        <v>-2.0885153770000001E-2</v>
      </c>
      <c r="O29">
        <v>259</v>
      </c>
      <c r="P29">
        <v>350.7587436</v>
      </c>
      <c r="Q29">
        <f t="shared" si="0"/>
        <v>2.5450085057870764</v>
      </c>
      <c r="R29">
        <v>0.73839926929999999</v>
      </c>
      <c r="S29">
        <v>259</v>
      </c>
      <c r="T29">
        <v>94282</v>
      </c>
      <c r="U29">
        <v>-46.484526670000001</v>
      </c>
      <c r="V29">
        <v>-23.491246629999999</v>
      </c>
    </row>
    <row r="30" spans="1:22" x14ac:dyDescent="0.3">
      <c r="A30" t="s">
        <v>82</v>
      </c>
      <c r="B30">
        <v>29</v>
      </c>
      <c r="C30" t="s">
        <v>83</v>
      </c>
      <c r="D30" t="s">
        <v>29</v>
      </c>
      <c r="E30">
        <v>355030829</v>
      </c>
      <c r="F30" t="s">
        <v>83</v>
      </c>
      <c r="G30">
        <v>-0.12371226370000001</v>
      </c>
      <c r="H30">
        <v>13.76771735</v>
      </c>
      <c r="I30">
        <v>28.461661419999999</v>
      </c>
      <c r="J30">
        <v>5.3896309469999997</v>
      </c>
      <c r="K30">
        <v>79.100272399999994</v>
      </c>
      <c r="L30">
        <v>6.1402300309999998</v>
      </c>
      <c r="M30">
        <v>4165.7771769999999</v>
      </c>
      <c r="N30">
        <v>0.1213423798</v>
      </c>
      <c r="O30">
        <v>210</v>
      </c>
      <c r="P30">
        <v>359.56472939999998</v>
      </c>
      <c r="Q30">
        <f t="shared" si="0"/>
        <v>2.5557770841228966</v>
      </c>
      <c r="R30">
        <v>0.58403948679999995</v>
      </c>
      <c r="S30">
        <v>210</v>
      </c>
      <c r="T30">
        <v>96649</v>
      </c>
      <c r="U30">
        <v>-46.697483320000003</v>
      </c>
      <c r="V30">
        <v>-23.48632843</v>
      </c>
    </row>
    <row r="31" spans="1:22" x14ac:dyDescent="0.3">
      <c r="A31" t="s">
        <v>84</v>
      </c>
      <c r="B31">
        <v>30</v>
      </c>
      <c r="C31" t="s">
        <v>85</v>
      </c>
      <c r="D31" t="s">
        <v>54</v>
      </c>
      <c r="E31">
        <v>355030830</v>
      </c>
      <c r="F31" t="s">
        <v>85</v>
      </c>
      <c r="G31">
        <v>-0.61425209839999995</v>
      </c>
      <c r="H31">
        <v>2.7040770850000002</v>
      </c>
      <c r="I31">
        <v>13.10478475</v>
      </c>
      <c r="J31">
        <v>17.852059910000001</v>
      </c>
      <c r="K31">
        <v>53.223406619999999</v>
      </c>
      <c r="L31">
        <v>0.1931717577</v>
      </c>
      <c r="M31">
        <v>2018.659973</v>
      </c>
      <c r="N31">
        <v>-0.15031754729999999</v>
      </c>
      <c r="O31">
        <v>1852</v>
      </c>
      <c r="P31">
        <v>1299.2084219999999</v>
      </c>
      <c r="Q31">
        <f t="shared" si="0"/>
        <v>3.1136788271805602</v>
      </c>
      <c r="R31">
        <v>1.42548337</v>
      </c>
      <c r="S31">
        <v>1852</v>
      </c>
      <c r="T31">
        <v>349220</v>
      </c>
      <c r="U31">
        <v>-46.668724109999999</v>
      </c>
      <c r="V31">
        <v>-23.78964496</v>
      </c>
    </row>
    <row r="32" spans="1:22" x14ac:dyDescent="0.3">
      <c r="A32" t="s">
        <v>86</v>
      </c>
      <c r="B32">
        <v>31</v>
      </c>
      <c r="C32" t="s">
        <v>87</v>
      </c>
      <c r="D32" t="s">
        <v>73</v>
      </c>
      <c r="E32">
        <v>355030831</v>
      </c>
      <c r="F32" t="s">
        <v>87</v>
      </c>
      <c r="G32">
        <v>-0.54219393719999998</v>
      </c>
      <c r="H32">
        <v>3.3031056470000002</v>
      </c>
      <c r="I32">
        <v>18.918293510000002</v>
      </c>
      <c r="J32">
        <v>17.75677602</v>
      </c>
      <c r="K32">
        <v>61.018494740000001</v>
      </c>
      <c r="L32">
        <v>0</v>
      </c>
      <c r="M32">
        <v>2126.8715579999998</v>
      </c>
      <c r="N32">
        <v>-0.14409725679999999</v>
      </c>
      <c r="O32">
        <v>466</v>
      </c>
      <c r="P32">
        <v>359.72098260000001</v>
      </c>
      <c r="Q32">
        <f t="shared" si="0"/>
        <v>2.5559657710451447</v>
      </c>
      <c r="R32">
        <v>1.2954484799999999</v>
      </c>
      <c r="S32">
        <v>466</v>
      </c>
      <c r="T32">
        <v>96691</v>
      </c>
      <c r="U32">
        <v>-46.40658732</v>
      </c>
      <c r="V32">
        <v>-23.556392949999999</v>
      </c>
    </row>
    <row r="33" spans="1:22" x14ac:dyDescent="0.3">
      <c r="A33" t="s">
        <v>88</v>
      </c>
      <c r="B33">
        <v>33</v>
      </c>
      <c r="C33" t="s">
        <v>89</v>
      </c>
      <c r="D33" t="s">
        <v>73</v>
      </c>
      <c r="E33">
        <v>355030833</v>
      </c>
      <c r="F33" t="s">
        <v>89</v>
      </c>
      <c r="G33">
        <v>-0.58279238570000003</v>
      </c>
      <c r="H33">
        <v>2.3230501449999998</v>
      </c>
      <c r="I33">
        <v>15.638832860000001</v>
      </c>
      <c r="J33">
        <v>18.18952943</v>
      </c>
      <c r="K33">
        <v>58.138961860000002</v>
      </c>
      <c r="L33">
        <v>0</v>
      </c>
      <c r="M33">
        <v>2026.7410319999999</v>
      </c>
      <c r="N33">
        <v>-0.14443529629999999</v>
      </c>
      <c r="O33">
        <v>267</v>
      </c>
      <c r="P33">
        <v>509.12139439999999</v>
      </c>
      <c r="Q33">
        <f t="shared" si="0"/>
        <v>2.7068213474294751</v>
      </c>
      <c r="R33">
        <v>0.52443288170000002</v>
      </c>
      <c r="S33">
        <v>267</v>
      </c>
      <c r="T33">
        <v>136849</v>
      </c>
      <c r="U33">
        <v>-46.42667496</v>
      </c>
      <c r="V33">
        <v>-23.612767550000001</v>
      </c>
    </row>
    <row r="34" spans="1:22" x14ac:dyDescent="0.3">
      <c r="A34" t="s">
        <v>90</v>
      </c>
      <c r="B34">
        <v>34</v>
      </c>
      <c r="C34" t="s">
        <v>91</v>
      </c>
      <c r="D34" t="s">
        <v>23</v>
      </c>
      <c r="E34">
        <v>355030834</v>
      </c>
      <c r="F34" t="s">
        <v>91</v>
      </c>
      <c r="G34">
        <v>0.1071429897</v>
      </c>
      <c r="H34">
        <v>21.97660964</v>
      </c>
      <c r="I34">
        <v>40.85322317</v>
      </c>
      <c r="J34">
        <v>4.14155446</v>
      </c>
      <c r="K34">
        <v>85.336227280000003</v>
      </c>
      <c r="L34">
        <v>14.101381610000001</v>
      </c>
      <c r="M34">
        <v>5870.0397370000001</v>
      </c>
      <c r="N34">
        <v>0.235495871</v>
      </c>
      <c r="O34">
        <v>149</v>
      </c>
      <c r="P34">
        <v>274.01236449999999</v>
      </c>
      <c r="Q34">
        <f t="shared" si="0"/>
        <v>2.4377701603129638</v>
      </c>
      <c r="R34">
        <v>0.54377108240000005</v>
      </c>
      <c r="S34">
        <v>149</v>
      </c>
      <c r="T34">
        <v>73653</v>
      </c>
      <c r="U34">
        <v>-46.602833459999999</v>
      </c>
      <c r="V34">
        <v>-23.591808140000001</v>
      </c>
    </row>
    <row r="35" spans="1:22" x14ac:dyDescent="0.3">
      <c r="A35" t="s">
        <v>92</v>
      </c>
      <c r="B35">
        <v>35</v>
      </c>
      <c r="C35" t="s">
        <v>93</v>
      </c>
      <c r="D35" t="s">
        <v>26</v>
      </c>
      <c r="E35">
        <v>355030835</v>
      </c>
      <c r="F35" t="s">
        <v>93</v>
      </c>
      <c r="G35">
        <v>0.79984230280000002</v>
      </c>
      <c r="H35">
        <v>51.309496269999997</v>
      </c>
      <c r="I35">
        <v>45.571496150000002</v>
      </c>
      <c r="J35">
        <v>0.75459955140000001</v>
      </c>
      <c r="K35">
        <v>96.943009410000002</v>
      </c>
      <c r="L35">
        <v>83.178641729999995</v>
      </c>
      <c r="M35">
        <v>13916.641229999999</v>
      </c>
      <c r="N35">
        <v>0.6142165249</v>
      </c>
      <c r="O35">
        <v>53</v>
      </c>
      <c r="P35">
        <v>197.7793887</v>
      </c>
      <c r="Q35">
        <f t="shared" si="0"/>
        <v>2.2961810302325154</v>
      </c>
      <c r="R35">
        <v>0.2679753453</v>
      </c>
      <c r="S35">
        <v>53</v>
      </c>
      <c r="T35">
        <v>53162</v>
      </c>
      <c r="U35">
        <v>-46.685358639999997</v>
      </c>
      <c r="V35">
        <v>-23.60210446</v>
      </c>
    </row>
    <row r="36" spans="1:22" x14ac:dyDescent="0.3">
      <c r="A36" t="s">
        <v>94</v>
      </c>
      <c r="B36">
        <v>36</v>
      </c>
      <c r="C36" t="s">
        <v>95</v>
      </c>
      <c r="D36" t="s">
        <v>73</v>
      </c>
      <c r="E36">
        <v>355030836</v>
      </c>
      <c r="F36" t="s">
        <v>95</v>
      </c>
      <c r="G36">
        <v>-0.5579123144</v>
      </c>
      <c r="H36">
        <v>3.1777523699999999</v>
      </c>
      <c r="I36">
        <v>18.291412959999999</v>
      </c>
      <c r="J36">
        <v>19.133126990000001</v>
      </c>
      <c r="K36">
        <v>63.387618949999997</v>
      </c>
      <c r="L36">
        <v>0.22042110009999999</v>
      </c>
      <c r="M36">
        <v>1918.1660850000001</v>
      </c>
      <c r="N36">
        <v>-0.16716082839999999</v>
      </c>
      <c r="O36">
        <v>3185</v>
      </c>
      <c r="P36">
        <v>750.39498639999999</v>
      </c>
      <c r="Q36">
        <f t="shared" si="0"/>
        <v>2.8752899237370952</v>
      </c>
      <c r="R36">
        <v>4.2444313429999996</v>
      </c>
      <c r="S36">
        <v>3185</v>
      </c>
      <c r="T36">
        <v>201702</v>
      </c>
      <c r="U36">
        <v>-46.386320470000001</v>
      </c>
      <c r="V36">
        <v>-23.50335407</v>
      </c>
    </row>
    <row r="37" spans="1:22" x14ac:dyDescent="0.3">
      <c r="A37" t="s">
        <v>96</v>
      </c>
      <c r="B37">
        <v>37</v>
      </c>
      <c r="C37" t="s">
        <v>97</v>
      </c>
      <c r="D37" t="s">
        <v>73</v>
      </c>
      <c r="E37">
        <v>355030837</v>
      </c>
      <c r="F37" t="s">
        <v>97</v>
      </c>
      <c r="G37">
        <v>-0.38086326920000002</v>
      </c>
      <c r="H37">
        <v>7.1769146130000001</v>
      </c>
      <c r="I37">
        <v>23.24932372</v>
      </c>
      <c r="J37">
        <v>12.815049330000001</v>
      </c>
      <c r="K37">
        <v>69.198194729999997</v>
      </c>
      <c r="L37">
        <v>1.1885003709999999</v>
      </c>
      <c r="M37">
        <v>2738.85419</v>
      </c>
      <c r="N37">
        <v>-5.2363550119999998E-2</v>
      </c>
      <c r="O37">
        <v>578</v>
      </c>
      <c r="P37">
        <v>634.93500879999999</v>
      </c>
      <c r="Q37">
        <f t="shared" si="0"/>
        <v>2.8027292736950651</v>
      </c>
      <c r="R37">
        <v>0.9103293911</v>
      </c>
      <c r="S37">
        <v>578</v>
      </c>
      <c r="T37">
        <v>170667</v>
      </c>
      <c r="U37">
        <v>-46.455923730000002</v>
      </c>
      <c r="V37">
        <v>-23.534042849999999</v>
      </c>
    </row>
    <row r="38" spans="1:22" x14ac:dyDescent="0.3">
      <c r="A38" t="s">
        <v>98</v>
      </c>
      <c r="B38">
        <v>38</v>
      </c>
      <c r="C38" t="s">
        <v>99</v>
      </c>
      <c r="D38" t="s">
        <v>23</v>
      </c>
      <c r="E38">
        <v>355030838</v>
      </c>
      <c r="F38" t="s">
        <v>99</v>
      </c>
      <c r="G38">
        <v>-9.476709187E-2</v>
      </c>
      <c r="H38">
        <v>17.657162469999999</v>
      </c>
      <c r="I38">
        <v>31.616458990000002</v>
      </c>
      <c r="J38">
        <v>8.8990293269999992</v>
      </c>
      <c r="K38">
        <v>76.285870029999998</v>
      </c>
      <c r="L38">
        <v>16.082848810000002</v>
      </c>
      <c r="M38">
        <v>4706.9285300000001</v>
      </c>
      <c r="N38">
        <v>0.1131824786</v>
      </c>
      <c r="O38">
        <v>235</v>
      </c>
      <c r="P38">
        <v>609.33180059999995</v>
      </c>
      <c r="Q38">
        <f t="shared" si="0"/>
        <v>2.7848538442408426</v>
      </c>
      <c r="R38">
        <v>0.3856683662</v>
      </c>
      <c r="S38">
        <v>235</v>
      </c>
      <c r="T38">
        <v>163785</v>
      </c>
      <c r="U38">
        <v>-46.645908310000003</v>
      </c>
      <c r="V38">
        <v>-23.65055018</v>
      </c>
    </row>
    <row r="39" spans="1:22" x14ac:dyDescent="0.3">
      <c r="A39" t="s">
        <v>100</v>
      </c>
      <c r="B39">
        <v>39</v>
      </c>
      <c r="C39" t="s">
        <v>101</v>
      </c>
      <c r="D39" t="s">
        <v>29</v>
      </c>
      <c r="E39">
        <v>355030839</v>
      </c>
      <c r="F39" t="s">
        <v>101</v>
      </c>
      <c r="G39">
        <v>-0.27061936390000002</v>
      </c>
      <c r="H39">
        <v>7.6036813040000002</v>
      </c>
      <c r="I39">
        <v>31.14425018</v>
      </c>
      <c r="J39">
        <v>8.5820739560000003</v>
      </c>
      <c r="K39">
        <v>68.584509600000004</v>
      </c>
      <c r="L39">
        <v>2.7877654019999998</v>
      </c>
      <c r="M39">
        <v>3099.3150599999999</v>
      </c>
      <c r="N39">
        <v>1.3637138510000001E-2</v>
      </c>
      <c r="O39">
        <v>389</v>
      </c>
      <c r="P39">
        <v>267.27487389999999</v>
      </c>
      <c r="Q39">
        <f t="shared" si="0"/>
        <v>2.426958133318895</v>
      </c>
      <c r="R39">
        <v>1.4554304870000001</v>
      </c>
      <c r="S39">
        <v>389</v>
      </c>
      <c r="T39">
        <v>71842</v>
      </c>
      <c r="U39">
        <v>-46.574902299999998</v>
      </c>
      <c r="V39">
        <v>-23.460125919999999</v>
      </c>
    </row>
    <row r="40" spans="1:22" x14ac:dyDescent="0.3">
      <c r="A40" t="s">
        <v>102</v>
      </c>
      <c r="B40">
        <v>40</v>
      </c>
      <c r="C40" t="s">
        <v>103</v>
      </c>
      <c r="D40" t="s">
        <v>26</v>
      </c>
      <c r="E40">
        <v>355030840</v>
      </c>
      <c r="F40" t="s">
        <v>103</v>
      </c>
      <c r="G40">
        <v>-4.3861275230000003E-2</v>
      </c>
      <c r="H40">
        <v>14.88728326</v>
      </c>
      <c r="I40">
        <v>41.689185889999997</v>
      </c>
      <c r="J40">
        <v>4.8163890919999996</v>
      </c>
      <c r="K40">
        <v>78.040011649999997</v>
      </c>
      <c r="L40">
        <v>4.6194922619999996</v>
      </c>
      <c r="M40">
        <v>4415.6027839999997</v>
      </c>
      <c r="N40">
        <v>0.1249952329</v>
      </c>
      <c r="O40">
        <v>62</v>
      </c>
      <c r="P40">
        <v>57.936466289999998</v>
      </c>
      <c r="Q40">
        <f t="shared" si="0"/>
        <v>1.7629520028188188</v>
      </c>
      <c r="R40">
        <v>1.0701377560000001</v>
      </c>
      <c r="S40">
        <v>62</v>
      </c>
      <c r="T40">
        <v>15573</v>
      </c>
      <c r="U40">
        <v>-46.747134989999999</v>
      </c>
      <c r="V40">
        <v>-23.511032620000002</v>
      </c>
    </row>
    <row r="41" spans="1:22" x14ac:dyDescent="0.3">
      <c r="A41" t="s">
        <v>104</v>
      </c>
      <c r="B41">
        <v>41</v>
      </c>
      <c r="C41" t="s">
        <v>105</v>
      </c>
      <c r="D41" t="s">
        <v>26</v>
      </c>
      <c r="E41">
        <v>355030841</v>
      </c>
      <c r="F41" t="s">
        <v>105</v>
      </c>
      <c r="G41">
        <v>-3.2166133870000002E-2</v>
      </c>
      <c r="H41">
        <v>19.39635827</v>
      </c>
      <c r="I41">
        <v>42.161760520000001</v>
      </c>
      <c r="J41">
        <v>11.01150958</v>
      </c>
      <c r="K41">
        <v>75.904040969999997</v>
      </c>
      <c r="L41">
        <v>20.3280192</v>
      </c>
      <c r="M41">
        <v>4934.5466779999997</v>
      </c>
      <c r="N41">
        <v>0.1128238671</v>
      </c>
      <c r="O41">
        <v>82</v>
      </c>
      <c r="P41">
        <v>154.81347020000001</v>
      </c>
      <c r="Q41">
        <f t="shared" si="0"/>
        <v>2.1898087456170243</v>
      </c>
      <c r="R41">
        <v>0.52966967200000004</v>
      </c>
      <c r="S41">
        <v>82</v>
      </c>
      <c r="T41">
        <v>41613</v>
      </c>
      <c r="U41">
        <v>-46.74870937</v>
      </c>
      <c r="V41">
        <v>-23.543820230000001</v>
      </c>
    </row>
    <row r="42" spans="1:22" x14ac:dyDescent="0.3">
      <c r="A42" t="s">
        <v>106</v>
      </c>
      <c r="B42">
        <v>42</v>
      </c>
      <c r="C42" t="s">
        <v>107</v>
      </c>
      <c r="D42" t="s">
        <v>29</v>
      </c>
      <c r="E42">
        <v>355030842</v>
      </c>
      <c r="F42" t="s">
        <v>107</v>
      </c>
      <c r="G42">
        <v>-0.43937579170000002</v>
      </c>
      <c r="H42">
        <v>5.2633599029999996</v>
      </c>
      <c r="I42">
        <v>20.390802950000001</v>
      </c>
      <c r="J42">
        <v>13.11411139</v>
      </c>
      <c r="K42">
        <v>65.80590565</v>
      </c>
      <c r="L42">
        <v>0.9033292503</v>
      </c>
      <c r="M42">
        <v>2357.252692</v>
      </c>
      <c r="N42">
        <v>-8.3484286670000005E-2</v>
      </c>
      <c r="O42">
        <v>573</v>
      </c>
      <c r="P42">
        <v>676.17098090000002</v>
      </c>
      <c r="Q42">
        <f t="shared" si="0"/>
        <v>2.8300565282969008</v>
      </c>
      <c r="R42">
        <v>0.84741879819999999</v>
      </c>
      <c r="S42">
        <v>573</v>
      </c>
      <c r="T42">
        <v>181751</v>
      </c>
      <c r="U42">
        <v>-46.740023299999997</v>
      </c>
      <c r="V42">
        <v>-23.44591063</v>
      </c>
    </row>
    <row r="43" spans="1:22" x14ac:dyDescent="0.3">
      <c r="A43" t="s">
        <v>108</v>
      </c>
      <c r="B43">
        <v>43</v>
      </c>
      <c r="C43" t="s">
        <v>109</v>
      </c>
      <c r="D43" t="s">
        <v>54</v>
      </c>
      <c r="E43">
        <v>355030843</v>
      </c>
      <c r="F43" t="s">
        <v>109</v>
      </c>
      <c r="G43">
        <v>-0.66892958010000003</v>
      </c>
      <c r="H43">
        <v>2.349482257</v>
      </c>
      <c r="I43">
        <v>11.201986460000001</v>
      </c>
      <c r="J43">
        <v>21.000126850000001</v>
      </c>
      <c r="K43">
        <v>54.20866565</v>
      </c>
      <c r="L43">
        <v>0.1503636062</v>
      </c>
      <c r="M43">
        <v>1771.9989250000001</v>
      </c>
      <c r="N43">
        <v>-0.2005885449</v>
      </c>
      <c r="O43">
        <v>2088</v>
      </c>
      <c r="P43">
        <v>1163.3276350000001</v>
      </c>
      <c r="Q43">
        <f t="shared" si="0"/>
        <v>3.0657020449379844</v>
      </c>
      <c r="R43">
        <v>1.7948511979999999</v>
      </c>
      <c r="S43">
        <v>2088</v>
      </c>
      <c r="T43">
        <v>312696</v>
      </c>
      <c r="U43">
        <v>-46.768719509999997</v>
      </c>
      <c r="V43">
        <v>-23.71636268</v>
      </c>
    </row>
    <row r="44" spans="1:22" x14ac:dyDescent="0.3">
      <c r="A44" t="s">
        <v>110</v>
      </c>
      <c r="B44">
        <v>44</v>
      </c>
      <c r="C44" t="s">
        <v>111</v>
      </c>
      <c r="D44" t="s">
        <v>73</v>
      </c>
      <c r="E44">
        <v>355030844</v>
      </c>
      <c r="F44" t="s">
        <v>111</v>
      </c>
      <c r="G44">
        <v>-0.61385003859999998</v>
      </c>
      <c r="H44">
        <v>2.595682713</v>
      </c>
      <c r="I44">
        <v>19.192840660000002</v>
      </c>
      <c r="J44">
        <v>21.971698740000001</v>
      </c>
      <c r="K44">
        <v>56.467599079999999</v>
      </c>
      <c r="L44">
        <v>0</v>
      </c>
      <c r="M44">
        <v>1932.2711710000001</v>
      </c>
      <c r="N44">
        <v>-0.1794335869</v>
      </c>
      <c r="O44">
        <v>642</v>
      </c>
      <c r="P44">
        <v>454.20582400000001</v>
      </c>
      <c r="Q44">
        <f t="shared" si="0"/>
        <v>2.6572526986086098</v>
      </c>
      <c r="R44">
        <v>1.4134561160000001</v>
      </c>
      <c r="S44">
        <v>642</v>
      </c>
      <c r="T44">
        <v>122088</v>
      </c>
      <c r="U44">
        <v>-46.413087670000003</v>
      </c>
      <c r="V44">
        <v>-23.483702539999999</v>
      </c>
    </row>
    <row r="45" spans="1:22" x14ac:dyDescent="0.3">
      <c r="A45" t="s">
        <v>112</v>
      </c>
      <c r="B45">
        <v>45</v>
      </c>
      <c r="C45" t="s">
        <v>113</v>
      </c>
      <c r="D45" t="s">
        <v>26</v>
      </c>
      <c r="E45">
        <v>355030845</v>
      </c>
      <c r="F45" t="s">
        <v>113</v>
      </c>
      <c r="G45">
        <v>0.88410435779999996</v>
      </c>
      <c r="H45">
        <v>54.065927129999999</v>
      </c>
      <c r="I45">
        <v>51.451895180000001</v>
      </c>
      <c r="J45">
        <v>0.42393827610000001</v>
      </c>
      <c r="K45">
        <v>97.167364410000005</v>
      </c>
      <c r="L45">
        <v>84.509911500000001</v>
      </c>
      <c r="M45">
        <v>16136.803529999999</v>
      </c>
      <c r="N45">
        <v>0.59330272299999998</v>
      </c>
      <c r="O45">
        <v>24</v>
      </c>
      <c r="P45">
        <v>165.2191914</v>
      </c>
      <c r="Q45">
        <f t="shared" si="0"/>
        <v>2.2180604923489664</v>
      </c>
      <c r="R45">
        <v>0.14526157519999999</v>
      </c>
      <c r="S45">
        <v>24</v>
      </c>
      <c r="T45">
        <v>44410</v>
      </c>
      <c r="U45">
        <v>-46.666759380000002</v>
      </c>
      <c r="V45">
        <v>-23.566514139999999</v>
      </c>
    </row>
    <row r="46" spans="1:22" x14ac:dyDescent="0.3">
      <c r="A46" t="s">
        <v>114</v>
      </c>
      <c r="B46">
        <v>46</v>
      </c>
      <c r="C46" t="s">
        <v>115</v>
      </c>
      <c r="D46" t="s">
        <v>54</v>
      </c>
      <c r="E46">
        <v>355030846</v>
      </c>
      <c r="F46" t="s">
        <v>115</v>
      </c>
      <c r="G46">
        <v>-0.41904695120000002</v>
      </c>
      <c r="H46">
        <v>5.5855754050000002</v>
      </c>
      <c r="I46">
        <v>22.027776880000001</v>
      </c>
      <c r="J46">
        <v>13.030308209999999</v>
      </c>
      <c r="K46">
        <v>66.521954750000006</v>
      </c>
      <c r="L46">
        <v>1.627198597</v>
      </c>
      <c r="M46">
        <v>2476.6814380000001</v>
      </c>
      <c r="N46">
        <v>-7.7200057089999996E-2</v>
      </c>
      <c r="O46">
        <v>1515</v>
      </c>
      <c r="P46">
        <v>900.69199419999995</v>
      </c>
      <c r="Q46">
        <f t="shared" si="0"/>
        <v>2.9545763025347918</v>
      </c>
      <c r="R46">
        <v>1.6820400419999999</v>
      </c>
      <c r="S46">
        <v>1515</v>
      </c>
      <c r="T46">
        <v>242101</v>
      </c>
      <c r="U46">
        <v>-46.739401350000001</v>
      </c>
      <c r="V46">
        <v>-23.68072647</v>
      </c>
    </row>
    <row r="47" spans="1:22" x14ac:dyDescent="0.3">
      <c r="A47" t="s">
        <v>116</v>
      </c>
      <c r="B47">
        <v>47</v>
      </c>
      <c r="C47" t="s">
        <v>117</v>
      </c>
      <c r="D47" t="s">
        <v>73</v>
      </c>
      <c r="E47">
        <v>355030847</v>
      </c>
      <c r="F47" t="s">
        <v>117</v>
      </c>
      <c r="G47">
        <v>-0.38673711710000003</v>
      </c>
      <c r="H47">
        <v>5.1536740060000001</v>
      </c>
      <c r="I47">
        <v>18.513399530000001</v>
      </c>
      <c r="J47">
        <v>11.630172659999999</v>
      </c>
      <c r="K47">
        <v>77.10229812</v>
      </c>
      <c r="L47">
        <v>0.1756595416</v>
      </c>
      <c r="M47">
        <v>2423.1632549999999</v>
      </c>
      <c r="N47">
        <v>-7.1227457359999996E-2</v>
      </c>
      <c r="O47">
        <v>256</v>
      </c>
      <c r="P47">
        <v>389.59883280000003</v>
      </c>
      <c r="Q47">
        <f t="shared" si="0"/>
        <v>2.5906176471047333</v>
      </c>
      <c r="R47">
        <v>0.65708615749999999</v>
      </c>
      <c r="S47">
        <v>256</v>
      </c>
      <c r="T47">
        <v>104722</v>
      </c>
      <c r="U47">
        <v>-46.432643640000002</v>
      </c>
      <c r="V47">
        <v>-23.567419900000001</v>
      </c>
    </row>
    <row r="48" spans="1:22" x14ac:dyDescent="0.3">
      <c r="A48" t="s">
        <v>118</v>
      </c>
      <c r="B48">
        <v>96</v>
      </c>
      <c r="C48" t="s">
        <v>119</v>
      </c>
      <c r="D48" t="s">
        <v>73</v>
      </c>
      <c r="E48">
        <v>355030896</v>
      </c>
      <c r="F48" t="s">
        <v>119</v>
      </c>
      <c r="G48">
        <v>-0.59708307640000002</v>
      </c>
      <c r="H48">
        <v>2.1448644309999998</v>
      </c>
      <c r="I48">
        <v>17.93676511</v>
      </c>
      <c r="J48">
        <v>19.627516320000002</v>
      </c>
      <c r="K48">
        <v>56.893145799999999</v>
      </c>
      <c r="L48">
        <v>0.22057267680000001</v>
      </c>
      <c r="M48">
        <v>1860.70643</v>
      </c>
      <c r="N48">
        <v>-0.16519120300000001</v>
      </c>
      <c r="O48">
        <v>331</v>
      </c>
      <c r="P48">
        <v>581.74194420000003</v>
      </c>
      <c r="Q48">
        <f t="shared" si="0"/>
        <v>2.7647303780116923</v>
      </c>
      <c r="R48">
        <v>0.56898080549999996</v>
      </c>
      <c r="S48">
        <v>331</v>
      </c>
      <c r="T48">
        <v>156369</v>
      </c>
      <c r="U48">
        <v>-46.408657419999997</v>
      </c>
      <c r="V48">
        <v>-23.533608539999999</v>
      </c>
    </row>
    <row r="49" spans="1:22" x14ac:dyDescent="0.3">
      <c r="A49" t="s">
        <v>120</v>
      </c>
      <c r="B49">
        <v>48</v>
      </c>
      <c r="C49" t="s">
        <v>121</v>
      </c>
      <c r="D49" t="s">
        <v>26</v>
      </c>
      <c r="E49">
        <v>355030848</v>
      </c>
      <c r="F49" t="s">
        <v>121</v>
      </c>
      <c r="G49">
        <v>0.45840508689999998</v>
      </c>
      <c r="H49">
        <v>37.060277929999998</v>
      </c>
      <c r="I49">
        <v>42.165670300000002</v>
      </c>
      <c r="J49">
        <v>1.069675237</v>
      </c>
      <c r="K49">
        <v>93.617192270000004</v>
      </c>
      <c r="L49">
        <v>41.193704740000001</v>
      </c>
      <c r="M49">
        <v>9633.7043319999993</v>
      </c>
      <c r="N49">
        <v>0.46495878680000002</v>
      </c>
      <c r="O49">
        <v>64</v>
      </c>
      <c r="P49">
        <v>141.6733175</v>
      </c>
      <c r="Q49">
        <f t="shared" si="0"/>
        <v>2.1512880637006546</v>
      </c>
      <c r="R49">
        <v>0.45174349800000002</v>
      </c>
      <c r="S49">
        <v>64</v>
      </c>
      <c r="T49">
        <v>38081</v>
      </c>
      <c r="U49">
        <v>-46.705976630000002</v>
      </c>
      <c r="V49">
        <v>-23.522635260000001</v>
      </c>
    </row>
    <row r="50" spans="1:22" x14ac:dyDescent="0.3">
      <c r="A50" t="s">
        <v>122</v>
      </c>
      <c r="B50">
        <v>49</v>
      </c>
      <c r="C50" t="s">
        <v>123</v>
      </c>
      <c r="D50" t="s">
        <v>26</v>
      </c>
      <c r="E50">
        <v>355030849</v>
      </c>
      <c r="F50" t="s">
        <v>123</v>
      </c>
      <c r="G50">
        <v>0.29357028280000003</v>
      </c>
      <c r="H50">
        <v>32.691859729999997</v>
      </c>
      <c r="I50">
        <v>48.690031660000002</v>
      </c>
      <c r="J50">
        <v>2.6399186490000002</v>
      </c>
      <c r="K50">
        <v>89.583567430000002</v>
      </c>
      <c r="L50">
        <v>29.404137370000001</v>
      </c>
      <c r="M50">
        <v>6866.4801459999999</v>
      </c>
      <c r="N50">
        <v>0.23477034220000001</v>
      </c>
      <c r="O50">
        <v>61</v>
      </c>
      <c r="P50">
        <v>159.15507790000001</v>
      </c>
      <c r="Q50">
        <f t="shared" si="0"/>
        <v>2.2018204994997097</v>
      </c>
      <c r="R50">
        <v>0.3832739791</v>
      </c>
      <c r="S50">
        <v>61</v>
      </c>
      <c r="T50">
        <v>42780</v>
      </c>
      <c r="U50">
        <v>-46.631957020000002</v>
      </c>
      <c r="V50">
        <v>-23.566954769999999</v>
      </c>
    </row>
    <row r="51" spans="1:22" x14ac:dyDescent="0.3">
      <c r="A51" t="s">
        <v>124</v>
      </c>
      <c r="B51">
        <v>50</v>
      </c>
      <c r="C51" t="s">
        <v>125</v>
      </c>
      <c r="D51" t="s">
        <v>29</v>
      </c>
      <c r="E51">
        <v>355030850</v>
      </c>
      <c r="F51" t="s">
        <v>125</v>
      </c>
      <c r="G51">
        <v>-0.13825077390000001</v>
      </c>
      <c r="H51">
        <v>13.67449573</v>
      </c>
      <c r="I51">
        <v>36.428099680000003</v>
      </c>
      <c r="J51">
        <v>7.3503043610000001</v>
      </c>
      <c r="K51">
        <v>74.816172269999996</v>
      </c>
      <c r="L51">
        <v>4.3727935809999998</v>
      </c>
      <c r="M51">
        <v>3765.9757119999999</v>
      </c>
      <c r="N51">
        <v>8.4205552380000007E-2</v>
      </c>
      <c r="O51">
        <v>116</v>
      </c>
      <c r="P51">
        <v>224.5768181</v>
      </c>
      <c r="Q51">
        <f t="shared" si="0"/>
        <v>2.3513649242724823</v>
      </c>
      <c r="R51">
        <v>0.51652704410000005</v>
      </c>
      <c r="S51">
        <v>116</v>
      </c>
      <c r="T51">
        <v>60365</v>
      </c>
      <c r="U51">
        <v>-46.676035900000002</v>
      </c>
      <c r="V51">
        <v>-23.497512199999999</v>
      </c>
    </row>
    <row r="52" spans="1:22" x14ac:dyDescent="0.3">
      <c r="A52" t="s">
        <v>126</v>
      </c>
      <c r="B52">
        <v>51</v>
      </c>
      <c r="C52" t="s">
        <v>127</v>
      </c>
      <c r="D52" t="s">
        <v>29</v>
      </c>
      <c r="E52">
        <v>355030851</v>
      </c>
      <c r="F52" t="s">
        <v>127</v>
      </c>
      <c r="G52">
        <v>2.4076320139999999E-2</v>
      </c>
      <c r="H52">
        <v>21.1562223</v>
      </c>
      <c r="I52">
        <v>29.639817369999999</v>
      </c>
      <c r="J52">
        <v>4.0936623059999997</v>
      </c>
      <c r="K52">
        <v>85.407886110000007</v>
      </c>
      <c r="L52">
        <v>12.07559266</v>
      </c>
      <c r="M52">
        <v>5205.1681440000002</v>
      </c>
      <c r="N52">
        <v>0.2324433179</v>
      </c>
      <c r="O52">
        <v>151</v>
      </c>
      <c r="P52">
        <v>263.46527129999998</v>
      </c>
      <c r="Q52">
        <f t="shared" si="0"/>
        <v>2.4207233767524383</v>
      </c>
      <c r="R52">
        <v>0.57313056579999999</v>
      </c>
      <c r="S52">
        <v>151</v>
      </c>
      <c r="T52">
        <v>70818</v>
      </c>
      <c r="U52">
        <v>-46.640855899999998</v>
      </c>
      <c r="V52">
        <v>-23.45947026</v>
      </c>
    </row>
    <row r="53" spans="1:22" x14ac:dyDescent="0.3">
      <c r="A53" t="s">
        <v>128</v>
      </c>
      <c r="B53">
        <v>52</v>
      </c>
      <c r="C53" t="s">
        <v>129</v>
      </c>
      <c r="D53" t="s">
        <v>54</v>
      </c>
      <c r="E53">
        <v>355030852</v>
      </c>
      <c r="F53" t="s">
        <v>129</v>
      </c>
      <c r="G53">
        <v>-0.84914915020000004</v>
      </c>
      <c r="H53">
        <v>1.489077115</v>
      </c>
      <c r="I53">
        <v>15.925555409999999</v>
      </c>
      <c r="J53">
        <v>20.77692291</v>
      </c>
      <c r="K53">
        <v>5.113632505</v>
      </c>
      <c r="L53">
        <v>0</v>
      </c>
      <c r="M53">
        <v>1598.0219850000001</v>
      </c>
      <c r="N53">
        <v>-0.17478129810000001</v>
      </c>
      <c r="O53">
        <v>86</v>
      </c>
      <c r="P53">
        <v>25.01167809</v>
      </c>
      <c r="Q53">
        <f t="shared" si="0"/>
        <v>1.398142830506139</v>
      </c>
      <c r="R53">
        <v>3.4383938449999998</v>
      </c>
      <c r="S53">
        <v>86</v>
      </c>
      <c r="T53">
        <v>6723</v>
      </c>
      <c r="U53">
        <v>-46.707867319999998</v>
      </c>
      <c r="V53">
        <v>-23.935312459999999</v>
      </c>
    </row>
    <row r="54" spans="1:22" x14ac:dyDescent="0.3">
      <c r="A54" t="s">
        <v>130</v>
      </c>
      <c r="B54">
        <v>32</v>
      </c>
      <c r="C54" t="s">
        <v>131</v>
      </c>
      <c r="D54" t="s">
        <v>23</v>
      </c>
      <c r="E54">
        <v>355030832</v>
      </c>
      <c r="F54" t="s">
        <v>131</v>
      </c>
      <c r="G54">
        <v>0.91461223800000002</v>
      </c>
      <c r="H54">
        <v>54.702272120000003</v>
      </c>
      <c r="I54">
        <v>47.667012460000002</v>
      </c>
      <c r="J54">
        <v>0.41676643099999999</v>
      </c>
      <c r="K54">
        <v>97.872359130000007</v>
      </c>
      <c r="L54">
        <v>87.698127670000005</v>
      </c>
      <c r="M54">
        <v>17071.645820000002</v>
      </c>
      <c r="N54">
        <v>0.66178412990000002</v>
      </c>
      <c r="O54">
        <v>31</v>
      </c>
      <c r="P54">
        <v>171.49164260000001</v>
      </c>
      <c r="Q54">
        <f t="shared" si="0"/>
        <v>2.234242960173876</v>
      </c>
      <c r="R54">
        <v>0.18076682650000001</v>
      </c>
      <c r="S54">
        <v>31</v>
      </c>
      <c r="T54">
        <v>46096</v>
      </c>
      <c r="U54">
        <v>-46.661365410000002</v>
      </c>
      <c r="V54">
        <v>-23.596112900000001</v>
      </c>
    </row>
    <row r="55" spans="1:22" x14ac:dyDescent="0.3">
      <c r="A55" t="s">
        <v>132</v>
      </c>
      <c r="B55">
        <v>53</v>
      </c>
      <c r="C55" t="s">
        <v>133</v>
      </c>
      <c r="D55" t="s">
        <v>23</v>
      </c>
      <c r="E55">
        <v>355030853</v>
      </c>
      <c r="F55" t="s">
        <v>133</v>
      </c>
      <c r="G55">
        <v>0.30750087189999997</v>
      </c>
      <c r="H55">
        <v>29.08358299</v>
      </c>
      <c r="I55">
        <v>36.977341610000003</v>
      </c>
      <c r="J55">
        <v>0.64136143050000005</v>
      </c>
      <c r="K55">
        <v>91.796266450000005</v>
      </c>
      <c r="L55">
        <v>32.75533463</v>
      </c>
      <c r="M55">
        <v>7494.4529819999998</v>
      </c>
      <c r="N55">
        <v>0.39876888910000002</v>
      </c>
      <c r="O55">
        <v>84</v>
      </c>
      <c r="P55">
        <v>183.67195409999999</v>
      </c>
      <c r="Q55">
        <f t="shared" si="0"/>
        <v>2.2640428465099856</v>
      </c>
      <c r="R55">
        <v>0.45733710640000003</v>
      </c>
      <c r="S55">
        <v>84</v>
      </c>
      <c r="T55">
        <v>49370</v>
      </c>
      <c r="U55">
        <v>-46.596412690000001</v>
      </c>
      <c r="V55">
        <v>-23.561344890000001</v>
      </c>
    </row>
    <row r="56" spans="1:22" x14ac:dyDescent="0.3">
      <c r="A56" t="s">
        <v>134</v>
      </c>
      <c r="B56">
        <v>54</v>
      </c>
      <c r="C56" t="s">
        <v>135</v>
      </c>
      <c r="D56" t="s">
        <v>26</v>
      </c>
      <c r="E56">
        <v>355030854</v>
      </c>
      <c r="F56" t="s">
        <v>135</v>
      </c>
      <c r="G56">
        <v>0.59241554640000005</v>
      </c>
      <c r="H56">
        <v>36.262628239999998</v>
      </c>
      <c r="I56">
        <v>36.509150169999998</v>
      </c>
      <c r="J56">
        <v>7.3069699549999996</v>
      </c>
      <c r="K56">
        <v>90.133287929999995</v>
      </c>
      <c r="L56">
        <v>55.77197494</v>
      </c>
      <c r="M56">
        <v>21594.71574</v>
      </c>
      <c r="N56">
        <v>0.451958411</v>
      </c>
      <c r="O56">
        <v>63</v>
      </c>
      <c r="P56">
        <v>141.7105206</v>
      </c>
      <c r="Q56">
        <f t="shared" si="0"/>
        <v>2.1514020935002427</v>
      </c>
      <c r="R56">
        <v>0.44456826300000002</v>
      </c>
      <c r="S56">
        <v>63</v>
      </c>
      <c r="T56">
        <v>38091</v>
      </c>
      <c r="U56">
        <v>-46.708022620000001</v>
      </c>
      <c r="V56">
        <v>-23.596319300000001</v>
      </c>
    </row>
    <row r="57" spans="1:22" x14ac:dyDescent="0.3">
      <c r="A57" t="s">
        <v>136</v>
      </c>
      <c r="B57">
        <v>55</v>
      </c>
      <c r="C57" t="s">
        <v>137</v>
      </c>
      <c r="D57" t="s">
        <v>54</v>
      </c>
      <c r="E57">
        <v>355030855</v>
      </c>
      <c r="F57" t="s">
        <v>137</v>
      </c>
      <c r="G57">
        <v>-0.771254035</v>
      </c>
      <c r="H57">
        <v>2.6367367420000001</v>
      </c>
      <c r="I57">
        <v>14.003573279999999</v>
      </c>
      <c r="J57">
        <v>24.5754801</v>
      </c>
      <c r="K57">
        <v>35.178697999999997</v>
      </c>
      <c r="L57">
        <v>0</v>
      </c>
      <c r="M57">
        <v>1721.2664689999999</v>
      </c>
      <c r="N57">
        <v>-0.22071045489999999</v>
      </c>
      <c r="O57">
        <v>1044</v>
      </c>
      <c r="P57">
        <v>538.53420519999997</v>
      </c>
      <c r="Q57">
        <f t="shared" si="0"/>
        <v>2.7312132928853243</v>
      </c>
      <c r="R57">
        <v>1.9385955239999999</v>
      </c>
      <c r="S57">
        <v>1044</v>
      </c>
      <c r="T57">
        <v>144755</v>
      </c>
      <c r="U57">
        <v>-46.716648130000003</v>
      </c>
      <c r="V57">
        <v>-23.829951820000002</v>
      </c>
    </row>
    <row r="58" spans="1:22" x14ac:dyDescent="0.3">
      <c r="A58" t="s">
        <v>138</v>
      </c>
      <c r="B58">
        <v>56</v>
      </c>
      <c r="C58" t="s">
        <v>139</v>
      </c>
      <c r="D58" t="s">
        <v>23</v>
      </c>
      <c r="E58">
        <v>355030856</v>
      </c>
      <c r="F58" t="s">
        <v>139</v>
      </c>
      <c r="G58">
        <v>1.807977761E-2</v>
      </c>
      <c r="H58">
        <v>9.7583839149999996</v>
      </c>
      <c r="I58">
        <v>55.83991992</v>
      </c>
      <c r="J58">
        <v>5.4452778090000002</v>
      </c>
      <c r="K58">
        <v>76.987023429999994</v>
      </c>
      <c r="L58">
        <v>19.98916474</v>
      </c>
      <c r="M58">
        <v>3774.587391</v>
      </c>
      <c r="N58">
        <v>7.3906946919999994E-2</v>
      </c>
      <c r="O58">
        <v>32</v>
      </c>
      <c r="P58">
        <v>58.728893399999997</v>
      </c>
      <c r="Q58">
        <f t="shared" si="0"/>
        <v>1.768851817720168</v>
      </c>
      <c r="R58">
        <v>0.54487660419999995</v>
      </c>
      <c r="S58">
        <v>32</v>
      </c>
      <c r="T58">
        <v>15786</v>
      </c>
      <c r="U58">
        <v>-46.617511469999997</v>
      </c>
      <c r="V58">
        <v>-23.527186189999998</v>
      </c>
    </row>
    <row r="59" spans="1:22" x14ac:dyDescent="0.3">
      <c r="A59" t="s">
        <v>140</v>
      </c>
      <c r="B59">
        <v>57</v>
      </c>
      <c r="C59" t="s">
        <v>141</v>
      </c>
      <c r="D59" t="s">
        <v>73</v>
      </c>
      <c r="E59">
        <v>355030857</v>
      </c>
      <c r="F59" t="s">
        <v>141</v>
      </c>
      <c r="G59">
        <v>-0.44432405289999999</v>
      </c>
      <c r="H59">
        <v>6.3999802079999997</v>
      </c>
      <c r="I59">
        <v>21.832409500000001</v>
      </c>
      <c r="J59">
        <v>13.734111759999999</v>
      </c>
      <c r="K59">
        <v>63.325419109999999</v>
      </c>
      <c r="L59">
        <v>0.34640138520000002</v>
      </c>
      <c r="M59">
        <v>2392.668525</v>
      </c>
      <c r="N59">
        <v>-8.8299890010000007E-2</v>
      </c>
      <c r="O59">
        <v>181</v>
      </c>
      <c r="P59">
        <v>217.7723618</v>
      </c>
      <c r="Q59">
        <f t="shared" si="0"/>
        <v>2.3380027611892928</v>
      </c>
      <c r="R59">
        <v>0.83114311880000002</v>
      </c>
      <c r="S59">
        <v>181</v>
      </c>
      <c r="T59">
        <v>58536</v>
      </c>
      <c r="U59">
        <v>-46.462977260000002</v>
      </c>
      <c r="V59">
        <v>-23.575951190000001</v>
      </c>
    </row>
    <row r="60" spans="1:22" x14ac:dyDescent="0.3">
      <c r="A60" t="s">
        <v>142</v>
      </c>
      <c r="B60">
        <v>58</v>
      </c>
      <c r="C60" t="s">
        <v>143</v>
      </c>
      <c r="D60" t="s">
        <v>54</v>
      </c>
      <c r="E60">
        <v>355030858</v>
      </c>
      <c r="F60" t="s">
        <v>143</v>
      </c>
      <c r="G60">
        <v>-0.51990866790000001</v>
      </c>
      <c r="H60">
        <v>4.0984679870000003</v>
      </c>
      <c r="I60">
        <v>21.773401629999999</v>
      </c>
      <c r="J60">
        <v>16.825018650000001</v>
      </c>
      <c r="K60">
        <v>58.549072029999998</v>
      </c>
      <c r="L60">
        <v>0.25519267130000001</v>
      </c>
      <c r="M60">
        <v>2150.649919</v>
      </c>
      <c r="N60">
        <v>-0.1309186524</v>
      </c>
      <c r="O60">
        <v>612</v>
      </c>
      <c r="P60">
        <v>492.90082080000002</v>
      </c>
      <c r="Q60">
        <f t="shared" si="0"/>
        <v>2.6927595413614882</v>
      </c>
      <c r="R60">
        <v>1.241629095</v>
      </c>
      <c r="S60">
        <v>612</v>
      </c>
      <c r="T60">
        <v>132489</v>
      </c>
      <c r="U60">
        <v>-46.649817550000002</v>
      </c>
      <c r="V60">
        <v>-23.706748300000001</v>
      </c>
    </row>
    <row r="61" spans="1:22" x14ac:dyDescent="0.3">
      <c r="A61" t="s">
        <v>144</v>
      </c>
      <c r="B61">
        <v>59</v>
      </c>
      <c r="C61" t="s">
        <v>145</v>
      </c>
      <c r="D61" t="s">
        <v>23</v>
      </c>
      <c r="E61">
        <v>355030859</v>
      </c>
      <c r="F61" t="s">
        <v>145</v>
      </c>
      <c r="G61">
        <v>-9.4844228840000003E-2</v>
      </c>
      <c r="H61">
        <v>15.711740519999999</v>
      </c>
      <c r="I61">
        <v>28.994740199999999</v>
      </c>
      <c r="J61">
        <v>4.0460597070000004</v>
      </c>
      <c r="K61">
        <v>81.848345140000006</v>
      </c>
      <c r="L61">
        <v>4.9662366110000002</v>
      </c>
      <c r="M61">
        <v>3930.2190959999998</v>
      </c>
      <c r="N61">
        <v>0.12321799529999999</v>
      </c>
      <c r="O61">
        <v>274</v>
      </c>
      <c r="P61">
        <v>314.26617329999999</v>
      </c>
      <c r="Q61">
        <f t="shared" si="0"/>
        <v>2.4972976373339737</v>
      </c>
      <c r="R61">
        <v>0.87187239120000004</v>
      </c>
      <c r="S61">
        <v>274</v>
      </c>
      <c r="T61">
        <v>84473</v>
      </c>
      <c r="U61">
        <v>-46.529147010000003</v>
      </c>
      <c r="V61">
        <v>-23.523125629999999</v>
      </c>
    </row>
    <row r="62" spans="1:22" x14ac:dyDescent="0.3">
      <c r="A62" t="s">
        <v>146</v>
      </c>
      <c r="B62">
        <v>60</v>
      </c>
      <c r="C62" t="s">
        <v>147</v>
      </c>
      <c r="D62" t="s">
        <v>26</v>
      </c>
      <c r="E62">
        <v>355030860</v>
      </c>
      <c r="F62" t="s">
        <v>147</v>
      </c>
      <c r="G62">
        <v>0.69794820800000001</v>
      </c>
      <c r="H62">
        <v>46.796449760000002</v>
      </c>
      <c r="I62">
        <v>44.207271210000002</v>
      </c>
      <c r="J62">
        <v>0.48121300420000002</v>
      </c>
      <c r="K62">
        <v>96.313752820000005</v>
      </c>
      <c r="L62">
        <v>65.353155880000003</v>
      </c>
      <c r="M62">
        <v>12788.86551</v>
      </c>
      <c r="N62">
        <v>0.60707538400000005</v>
      </c>
      <c r="O62">
        <v>57</v>
      </c>
      <c r="P62">
        <v>222.7985075</v>
      </c>
      <c r="Q62">
        <f t="shared" si="0"/>
        <v>2.347912277225725</v>
      </c>
      <c r="R62">
        <v>0.2558365433</v>
      </c>
      <c r="S62">
        <v>57</v>
      </c>
      <c r="T62">
        <v>59887</v>
      </c>
      <c r="U62">
        <v>-46.680933619999998</v>
      </c>
      <c r="V62">
        <v>-23.538721219999999</v>
      </c>
    </row>
    <row r="63" spans="1:22" x14ac:dyDescent="0.3">
      <c r="A63" t="s">
        <v>148</v>
      </c>
      <c r="B63">
        <v>61</v>
      </c>
      <c r="C63" t="s">
        <v>149</v>
      </c>
      <c r="D63" t="s">
        <v>29</v>
      </c>
      <c r="E63">
        <v>355030861</v>
      </c>
      <c r="F63" t="s">
        <v>149</v>
      </c>
      <c r="G63">
        <v>-0.51686101600000001</v>
      </c>
      <c r="H63">
        <v>3.7651427210000001</v>
      </c>
      <c r="I63">
        <v>19.225995260000001</v>
      </c>
      <c r="J63">
        <v>15.931076279999999</v>
      </c>
      <c r="K63">
        <v>61.388470820000002</v>
      </c>
      <c r="L63">
        <v>0</v>
      </c>
      <c r="M63">
        <v>2078.205371</v>
      </c>
      <c r="N63">
        <v>-0.12807974129999999</v>
      </c>
      <c r="O63">
        <v>304</v>
      </c>
      <c r="P63">
        <v>298.11628569999999</v>
      </c>
      <c r="Q63">
        <f t="shared" si="0"/>
        <v>2.4743857016161659</v>
      </c>
      <c r="R63">
        <v>1.019736306</v>
      </c>
      <c r="S63">
        <v>304</v>
      </c>
      <c r="T63">
        <v>80132</v>
      </c>
      <c r="U63">
        <v>-46.746133649999997</v>
      </c>
      <c r="V63">
        <v>-23.407920069999999</v>
      </c>
    </row>
    <row r="64" spans="1:22" x14ac:dyDescent="0.3">
      <c r="A64" t="s">
        <v>150</v>
      </c>
      <c r="B64">
        <v>62</v>
      </c>
      <c r="C64" t="s">
        <v>151</v>
      </c>
      <c r="D64" t="s">
        <v>26</v>
      </c>
      <c r="E64">
        <v>355030862</v>
      </c>
      <c r="F64" t="s">
        <v>151</v>
      </c>
      <c r="G64">
        <v>0.77949478959999996</v>
      </c>
      <c r="H64">
        <v>46.776893809999997</v>
      </c>
      <c r="I64">
        <v>51.567299089999999</v>
      </c>
      <c r="J64">
        <v>1.138111646</v>
      </c>
      <c r="K64">
        <v>95.87063345</v>
      </c>
      <c r="L64">
        <v>74.222891009999998</v>
      </c>
      <c r="M64">
        <v>15099.20945</v>
      </c>
      <c r="N64">
        <v>0.55480836730000005</v>
      </c>
      <c r="O64">
        <v>35</v>
      </c>
      <c r="P64">
        <v>124.23248049999999</v>
      </c>
      <c r="Q64">
        <f t="shared" si="0"/>
        <v>2.0942351566919561</v>
      </c>
      <c r="R64">
        <v>0.28172986529999999</v>
      </c>
      <c r="S64">
        <v>35</v>
      </c>
      <c r="T64">
        <v>33393</v>
      </c>
      <c r="U64">
        <v>-46.688672660000002</v>
      </c>
      <c r="V64">
        <v>-23.566473049999999</v>
      </c>
    </row>
    <row r="65" spans="1:22" x14ac:dyDescent="0.3">
      <c r="A65" t="s">
        <v>152</v>
      </c>
      <c r="B65">
        <v>63</v>
      </c>
      <c r="C65" t="s">
        <v>153</v>
      </c>
      <c r="D65" t="s">
        <v>29</v>
      </c>
      <c r="E65">
        <v>355030863</v>
      </c>
      <c r="F65" t="s">
        <v>153</v>
      </c>
      <c r="G65">
        <v>-0.1333610583</v>
      </c>
      <c r="H65">
        <v>14.117978559999999</v>
      </c>
      <c r="I65">
        <v>30.52908746</v>
      </c>
      <c r="J65">
        <v>6.8570088499999997</v>
      </c>
      <c r="K65">
        <v>77.490114599999998</v>
      </c>
      <c r="L65">
        <v>7.4620878570000002</v>
      </c>
      <c r="M65">
        <v>3957.9267840000002</v>
      </c>
      <c r="N65">
        <v>0.1096232446</v>
      </c>
      <c r="O65">
        <v>408</v>
      </c>
      <c r="P65">
        <v>459.04967420000003</v>
      </c>
      <c r="Q65">
        <f t="shared" si="0"/>
        <v>2.6618596834973505</v>
      </c>
      <c r="R65">
        <v>0.8887927015</v>
      </c>
      <c r="S65">
        <v>408</v>
      </c>
      <c r="T65">
        <v>123390</v>
      </c>
      <c r="U65">
        <v>-46.726279650000002</v>
      </c>
      <c r="V65">
        <v>-23.480852339999998</v>
      </c>
    </row>
    <row r="66" spans="1:22" x14ac:dyDescent="0.3">
      <c r="A66" t="s">
        <v>154</v>
      </c>
      <c r="B66">
        <v>64</v>
      </c>
      <c r="C66" t="s">
        <v>155</v>
      </c>
      <c r="D66" t="s">
        <v>73</v>
      </c>
      <c r="E66">
        <v>355030864</v>
      </c>
      <c r="F66" t="s">
        <v>155</v>
      </c>
      <c r="G66">
        <v>-0.27404984669999999</v>
      </c>
      <c r="H66">
        <v>9.3938454769999993</v>
      </c>
      <c r="I66">
        <v>25.801742449999999</v>
      </c>
      <c r="J66">
        <v>8.9759437050000006</v>
      </c>
      <c r="K66">
        <v>74.166218169999993</v>
      </c>
      <c r="L66">
        <v>1.0435297720000001</v>
      </c>
      <c r="M66">
        <v>3052.7266</v>
      </c>
      <c r="N66">
        <v>2.373252885E-2</v>
      </c>
      <c r="O66">
        <v>158</v>
      </c>
      <c r="P66">
        <v>233.01077230000001</v>
      </c>
      <c r="Q66">
        <f t="shared" si="0"/>
        <v>2.3673759993191674</v>
      </c>
      <c r="R66">
        <v>0.67808023829999997</v>
      </c>
      <c r="S66">
        <v>158</v>
      </c>
      <c r="T66">
        <v>62632</v>
      </c>
      <c r="U66">
        <v>-46.4937307</v>
      </c>
      <c r="V66">
        <v>-23.515672460000001</v>
      </c>
    </row>
    <row r="67" spans="1:22" x14ac:dyDescent="0.3">
      <c r="A67" t="s">
        <v>156</v>
      </c>
      <c r="B67">
        <v>65</v>
      </c>
      <c r="C67" t="s">
        <v>157</v>
      </c>
      <c r="D67" t="s">
        <v>26</v>
      </c>
      <c r="E67">
        <v>355030865</v>
      </c>
      <c r="F67" t="s">
        <v>157</v>
      </c>
      <c r="G67">
        <v>-0.33236283729999999</v>
      </c>
      <c r="H67">
        <v>7.7716125939999996</v>
      </c>
      <c r="I67">
        <v>24.823229810000001</v>
      </c>
      <c r="J67">
        <v>12.25230148</v>
      </c>
      <c r="K67">
        <v>73.961754549999995</v>
      </c>
      <c r="L67">
        <v>2.0633172040000001</v>
      </c>
      <c r="M67">
        <v>2966.010002</v>
      </c>
      <c r="N67">
        <v>-3.3971019970000002E-2</v>
      </c>
      <c r="O67">
        <v>247</v>
      </c>
      <c r="P67">
        <v>335.55381599999998</v>
      </c>
      <c r="Q67">
        <f t="shared" ref="Q67:Q97" si="1">LOG(P67)</f>
        <v>2.5257621820833775</v>
      </c>
      <c r="R67">
        <v>0.73609653119999996</v>
      </c>
      <c r="S67">
        <v>247</v>
      </c>
      <c r="T67">
        <v>90195</v>
      </c>
      <c r="U67">
        <v>-46.785611320000001</v>
      </c>
      <c r="V67">
        <v>-23.59244954</v>
      </c>
    </row>
    <row r="68" spans="1:22" x14ac:dyDescent="0.3">
      <c r="A68" t="s">
        <v>158</v>
      </c>
      <c r="B68">
        <v>66</v>
      </c>
      <c r="C68" t="s">
        <v>159</v>
      </c>
      <c r="D68" t="s">
        <v>26</v>
      </c>
      <c r="E68">
        <v>355030866</v>
      </c>
      <c r="F68" t="s">
        <v>159</v>
      </c>
      <c r="G68">
        <v>9.0459187339999997E-2</v>
      </c>
      <c r="H68">
        <v>20.808229520000001</v>
      </c>
      <c r="I68">
        <v>56.120122979999998</v>
      </c>
      <c r="J68">
        <v>3.2680033179999999</v>
      </c>
      <c r="K68">
        <v>81.285035300000004</v>
      </c>
      <c r="L68">
        <v>12.112653030000001</v>
      </c>
      <c r="M68">
        <v>3891.2524659999999</v>
      </c>
      <c r="N68">
        <v>7.8374207700000004E-2</v>
      </c>
      <c r="O68">
        <v>33</v>
      </c>
      <c r="P68">
        <v>133.29516799999999</v>
      </c>
      <c r="Q68">
        <f t="shared" si="1"/>
        <v>2.1248144063608061</v>
      </c>
      <c r="R68">
        <v>0.2475708647</v>
      </c>
      <c r="S68">
        <v>33</v>
      </c>
      <c r="T68">
        <v>35829</v>
      </c>
      <c r="U68">
        <v>-46.641051019999999</v>
      </c>
      <c r="V68">
        <v>-23.544763459999999</v>
      </c>
    </row>
    <row r="69" spans="1:22" x14ac:dyDescent="0.3">
      <c r="A69" t="s">
        <v>160</v>
      </c>
      <c r="B69">
        <v>67</v>
      </c>
      <c r="C69" t="s">
        <v>161</v>
      </c>
      <c r="D69" t="s">
        <v>26</v>
      </c>
      <c r="E69">
        <v>355030867</v>
      </c>
      <c r="F69" t="s">
        <v>161</v>
      </c>
      <c r="G69">
        <v>-6.3329241260000002E-2</v>
      </c>
      <c r="H69">
        <v>18.013580780000002</v>
      </c>
      <c r="I69">
        <v>33.439778179999998</v>
      </c>
      <c r="J69">
        <v>8.0387820300000001</v>
      </c>
      <c r="K69">
        <v>77.374300550000001</v>
      </c>
      <c r="L69">
        <v>13.131784209999999</v>
      </c>
      <c r="M69">
        <v>4966.1533149999996</v>
      </c>
      <c r="N69">
        <v>0.15236093440000001</v>
      </c>
      <c r="O69">
        <v>187</v>
      </c>
      <c r="P69">
        <v>370.96005439999999</v>
      </c>
      <c r="Q69">
        <f t="shared" si="1"/>
        <v>2.5693271465755259</v>
      </c>
      <c r="R69">
        <v>0.50409740290000005</v>
      </c>
      <c r="S69">
        <v>187</v>
      </c>
      <c r="T69">
        <v>99712</v>
      </c>
      <c r="U69">
        <v>-46.758873039999997</v>
      </c>
      <c r="V69">
        <v>-23.571387909999999</v>
      </c>
    </row>
    <row r="70" spans="1:22" x14ac:dyDescent="0.3">
      <c r="A70" t="s">
        <v>162</v>
      </c>
      <c r="B70">
        <v>68</v>
      </c>
      <c r="C70" t="s">
        <v>163</v>
      </c>
      <c r="D70" t="s">
        <v>23</v>
      </c>
      <c r="E70">
        <v>355030868</v>
      </c>
      <c r="F70" t="s">
        <v>163</v>
      </c>
      <c r="G70">
        <v>-0.14732406419999999</v>
      </c>
      <c r="H70">
        <v>12.720280880000001</v>
      </c>
      <c r="I70">
        <v>35.132590260000001</v>
      </c>
      <c r="J70">
        <v>6.694610741</v>
      </c>
      <c r="K70">
        <v>75.836411679999998</v>
      </c>
      <c r="L70">
        <v>3.3524762520000002</v>
      </c>
      <c r="M70">
        <v>3595.9667380000001</v>
      </c>
      <c r="N70">
        <v>7.8941768090000003E-2</v>
      </c>
      <c r="O70">
        <v>616</v>
      </c>
      <c r="P70">
        <v>709.23342070000001</v>
      </c>
      <c r="Q70">
        <f t="shared" si="1"/>
        <v>2.8507891923598017</v>
      </c>
      <c r="R70">
        <v>0.86854339069999997</v>
      </c>
      <c r="S70">
        <v>616</v>
      </c>
      <c r="T70">
        <v>190638</v>
      </c>
      <c r="U70">
        <v>-46.598168790000003</v>
      </c>
      <c r="V70">
        <v>-23.630825089999998</v>
      </c>
    </row>
    <row r="71" spans="1:22" x14ac:dyDescent="0.3">
      <c r="A71" t="s">
        <v>164</v>
      </c>
      <c r="B71">
        <v>69</v>
      </c>
      <c r="C71" t="s">
        <v>165</v>
      </c>
      <c r="D71" t="s">
        <v>26</v>
      </c>
      <c r="E71">
        <v>355030869</v>
      </c>
      <c r="F71" t="s">
        <v>165</v>
      </c>
      <c r="G71">
        <v>0.34498676220000002</v>
      </c>
      <c r="H71">
        <v>32.00433804</v>
      </c>
      <c r="I71">
        <v>49.805229990000001</v>
      </c>
      <c r="J71">
        <v>2.629305767</v>
      </c>
      <c r="K71">
        <v>91.75046304</v>
      </c>
      <c r="L71">
        <v>35.250357790000002</v>
      </c>
      <c r="M71">
        <v>7127.1094569999996</v>
      </c>
      <c r="N71">
        <v>0.29508017110000001</v>
      </c>
      <c r="O71">
        <v>118</v>
      </c>
      <c r="P71">
        <v>189.386358</v>
      </c>
      <c r="Q71">
        <f t="shared" si="1"/>
        <v>2.2773486924143458</v>
      </c>
      <c r="R71">
        <v>0.6230649412</v>
      </c>
      <c r="S71">
        <v>118</v>
      </c>
      <c r="T71">
        <v>50906</v>
      </c>
      <c r="U71">
        <v>-46.652876630000002</v>
      </c>
      <c r="V71">
        <v>-23.531795089999999</v>
      </c>
    </row>
    <row r="72" spans="1:22" x14ac:dyDescent="0.3">
      <c r="A72" t="s">
        <v>166</v>
      </c>
      <c r="B72">
        <v>70</v>
      </c>
      <c r="C72" t="s">
        <v>167</v>
      </c>
      <c r="D72" t="s">
        <v>29</v>
      </c>
      <c r="E72">
        <v>355030870</v>
      </c>
      <c r="F72" t="s">
        <v>167</v>
      </c>
      <c r="G72">
        <v>0.3336157521</v>
      </c>
      <c r="H72">
        <v>32.676436289999998</v>
      </c>
      <c r="I72">
        <v>35.233742059999997</v>
      </c>
      <c r="J72">
        <v>1.156664541</v>
      </c>
      <c r="K72">
        <v>92.777432540000007</v>
      </c>
      <c r="L72">
        <v>29.149547420000001</v>
      </c>
      <c r="M72">
        <v>8872.9876750000003</v>
      </c>
      <c r="N72">
        <v>0.41932507209999997</v>
      </c>
      <c r="O72">
        <v>107</v>
      </c>
      <c r="P72">
        <v>237.60536139999999</v>
      </c>
      <c r="Q72">
        <f t="shared" si="1"/>
        <v>2.3758562359731519</v>
      </c>
      <c r="R72">
        <v>0.45032653890000002</v>
      </c>
      <c r="S72">
        <v>107</v>
      </c>
      <c r="T72">
        <v>63867</v>
      </c>
      <c r="U72">
        <v>-46.630374349999997</v>
      </c>
      <c r="V72">
        <v>-23.50001056</v>
      </c>
    </row>
    <row r="73" spans="1:22" x14ac:dyDescent="0.3">
      <c r="A73" t="s">
        <v>168</v>
      </c>
      <c r="B73">
        <v>71</v>
      </c>
      <c r="C73" t="s">
        <v>169</v>
      </c>
      <c r="D73" t="s">
        <v>54</v>
      </c>
      <c r="E73">
        <v>355030871</v>
      </c>
      <c r="F73" t="s">
        <v>169</v>
      </c>
      <c r="G73">
        <v>0.59088605100000002</v>
      </c>
      <c r="H73">
        <v>41.732816939999999</v>
      </c>
      <c r="I73">
        <v>39.368590820000001</v>
      </c>
      <c r="J73">
        <v>0.6273118057</v>
      </c>
      <c r="K73">
        <v>95.688536439999993</v>
      </c>
      <c r="L73">
        <v>55.926599969999998</v>
      </c>
      <c r="M73">
        <v>12509.46451</v>
      </c>
      <c r="N73">
        <v>0.53949928920000001</v>
      </c>
      <c r="O73">
        <v>127</v>
      </c>
      <c r="P73">
        <v>157.44373300000001</v>
      </c>
      <c r="Q73">
        <f t="shared" si="1"/>
        <v>2.1971253783565827</v>
      </c>
      <c r="R73">
        <v>0.80663737840000005</v>
      </c>
      <c r="S73">
        <v>127</v>
      </c>
      <c r="T73">
        <v>42320</v>
      </c>
      <c r="U73">
        <v>-46.701195720000001</v>
      </c>
      <c r="V73">
        <v>-23.64237314</v>
      </c>
    </row>
    <row r="74" spans="1:22" x14ac:dyDescent="0.3">
      <c r="A74" t="s">
        <v>170</v>
      </c>
      <c r="B74">
        <v>95</v>
      </c>
      <c r="C74" t="s">
        <v>171</v>
      </c>
      <c r="D74" t="s">
        <v>29</v>
      </c>
      <c r="E74">
        <v>355030895</v>
      </c>
      <c r="F74" t="s">
        <v>171</v>
      </c>
      <c r="G74">
        <v>-0.16307731440000001</v>
      </c>
      <c r="H74">
        <v>11.963286999999999</v>
      </c>
      <c r="I74">
        <v>36.437777760000003</v>
      </c>
      <c r="J74">
        <v>8.2752405210000006</v>
      </c>
      <c r="K74">
        <v>69.269878969999994</v>
      </c>
      <c r="L74">
        <v>7.2293718199999999</v>
      </c>
      <c r="M74">
        <v>3990.5126180000002</v>
      </c>
      <c r="N74">
        <v>9.4039764179999999E-2</v>
      </c>
      <c r="O74">
        <v>166</v>
      </c>
      <c r="P74">
        <v>228.4831489</v>
      </c>
      <c r="Q74">
        <f t="shared" si="1"/>
        <v>2.358854175479792</v>
      </c>
      <c r="R74">
        <v>0.72653060339999997</v>
      </c>
      <c r="S74">
        <v>166</v>
      </c>
      <c r="T74">
        <v>61415</v>
      </c>
      <c r="U74">
        <v>-46.747613719999997</v>
      </c>
      <c r="V74">
        <v>-23.493366779999999</v>
      </c>
    </row>
    <row r="75" spans="1:22" x14ac:dyDescent="0.3">
      <c r="A75" t="s">
        <v>172</v>
      </c>
      <c r="B75">
        <v>72</v>
      </c>
      <c r="C75" t="s">
        <v>173</v>
      </c>
      <c r="D75" t="s">
        <v>23</v>
      </c>
      <c r="E75">
        <v>355030872</v>
      </c>
      <c r="F75" t="s">
        <v>173</v>
      </c>
      <c r="G75">
        <v>-0.12738408200000001</v>
      </c>
      <c r="H75">
        <v>12.015324939999999</v>
      </c>
      <c r="I75">
        <v>33.938169870000003</v>
      </c>
      <c r="J75">
        <v>4.7638400289999998</v>
      </c>
      <c r="K75">
        <v>78.941180340000003</v>
      </c>
      <c r="L75">
        <v>1.9512051239999999</v>
      </c>
      <c r="M75">
        <v>3558.229057</v>
      </c>
      <c r="N75">
        <v>9.4438609909999999E-2</v>
      </c>
      <c r="O75">
        <v>158</v>
      </c>
      <c r="P75">
        <v>349.86214769999998</v>
      </c>
      <c r="Q75">
        <f t="shared" si="1"/>
        <v>2.5438969578179389</v>
      </c>
      <c r="R75">
        <v>0.45160644280000001</v>
      </c>
      <c r="S75">
        <v>158</v>
      </c>
      <c r="T75">
        <v>94041</v>
      </c>
      <c r="U75">
        <v>-46.543588290000002</v>
      </c>
      <c r="V75">
        <v>-23.59468073</v>
      </c>
    </row>
    <row r="76" spans="1:22" x14ac:dyDescent="0.3">
      <c r="A76" t="s">
        <v>174</v>
      </c>
      <c r="B76">
        <v>73</v>
      </c>
      <c r="C76" t="s">
        <v>175</v>
      </c>
      <c r="D76" t="s">
        <v>73</v>
      </c>
      <c r="E76">
        <v>355030873</v>
      </c>
      <c r="F76" t="s">
        <v>175</v>
      </c>
      <c r="G76">
        <v>-0.3656183657</v>
      </c>
      <c r="H76">
        <v>5.7343515869999999</v>
      </c>
      <c r="I76">
        <v>24.844059550000001</v>
      </c>
      <c r="J76">
        <v>11.702191579999999</v>
      </c>
      <c r="K76">
        <v>70.743346500000001</v>
      </c>
      <c r="L76">
        <v>0.56585437819999995</v>
      </c>
      <c r="M76">
        <v>2684.2770930000001</v>
      </c>
      <c r="N76">
        <v>-5.2909154880000003E-2</v>
      </c>
      <c r="O76">
        <v>264</v>
      </c>
      <c r="P76">
        <v>450.2325275</v>
      </c>
      <c r="Q76">
        <f t="shared" si="1"/>
        <v>2.6534368678378812</v>
      </c>
      <c r="R76">
        <v>0.58636367629999997</v>
      </c>
      <c r="S76">
        <v>264</v>
      </c>
      <c r="T76">
        <v>121020</v>
      </c>
      <c r="U76">
        <v>-46.481240290000002</v>
      </c>
      <c r="V76">
        <v>-23.600042380000001</v>
      </c>
    </row>
    <row r="77" spans="1:22" x14ac:dyDescent="0.3">
      <c r="A77" t="s">
        <v>176</v>
      </c>
      <c r="B77">
        <v>74</v>
      </c>
      <c r="C77" t="s">
        <v>177</v>
      </c>
      <c r="D77" t="s">
        <v>73</v>
      </c>
      <c r="E77">
        <v>355030874</v>
      </c>
      <c r="F77" t="s">
        <v>177</v>
      </c>
      <c r="G77">
        <v>-0.36193932769999998</v>
      </c>
      <c r="H77">
        <v>7.2139397650000001</v>
      </c>
      <c r="I77">
        <v>25.788077250000001</v>
      </c>
      <c r="J77">
        <v>11.08258129</v>
      </c>
      <c r="K77">
        <v>68.386021580000005</v>
      </c>
      <c r="L77">
        <v>0.92726326260000003</v>
      </c>
      <c r="M77">
        <v>2580.4649610000001</v>
      </c>
      <c r="N77">
        <v>-6.4014251169999994E-2</v>
      </c>
      <c r="O77">
        <v>505</v>
      </c>
      <c r="P77">
        <v>274.67458049999999</v>
      </c>
      <c r="Q77">
        <f t="shared" si="1"/>
        <v>2.4388184699069497</v>
      </c>
      <c r="R77">
        <v>1.8385392599999999</v>
      </c>
      <c r="S77">
        <v>505</v>
      </c>
      <c r="T77">
        <v>73831</v>
      </c>
      <c r="U77">
        <v>-46.440800830000001</v>
      </c>
      <c r="V77">
        <v>-23.501090470000001</v>
      </c>
    </row>
    <row r="78" spans="1:22" x14ac:dyDescent="0.3">
      <c r="A78" t="s">
        <v>178</v>
      </c>
      <c r="B78">
        <v>75</v>
      </c>
      <c r="C78" t="s">
        <v>179</v>
      </c>
      <c r="D78" t="s">
        <v>73</v>
      </c>
      <c r="E78">
        <v>355030875</v>
      </c>
      <c r="F78" t="s">
        <v>179</v>
      </c>
      <c r="G78">
        <v>-0.58992732790000002</v>
      </c>
      <c r="H78">
        <v>2.8691426299999998</v>
      </c>
      <c r="I78">
        <v>18.781141659999999</v>
      </c>
      <c r="J78">
        <v>18.385340809999999</v>
      </c>
      <c r="K78">
        <v>51.624150739999997</v>
      </c>
      <c r="L78">
        <v>0</v>
      </c>
      <c r="M78">
        <v>2085.6752139999999</v>
      </c>
      <c r="N78">
        <v>-0.1402273473</v>
      </c>
      <c r="O78">
        <v>160</v>
      </c>
      <c r="P78">
        <v>509.21440230000002</v>
      </c>
      <c r="Q78">
        <f t="shared" si="1"/>
        <v>2.7069006784674032</v>
      </c>
      <c r="R78">
        <v>0.31420949460000003</v>
      </c>
      <c r="S78">
        <v>160</v>
      </c>
      <c r="T78">
        <v>136874</v>
      </c>
      <c r="U78">
        <v>-46.453950589999998</v>
      </c>
      <c r="V78">
        <v>-23.628212510000001</v>
      </c>
    </row>
    <row r="79" spans="1:22" x14ac:dyDescent="0.3">
      <c r="A79" t="s">
        <v>180</v>
      </c>
      <c r="B79">
        <v>76</v>
      </c>
      <c r="C79" t="s">
        <v>181</v>
      </c>
      <c r="D79" t="s">
        <v>23</v>
      </c>
      <c r="E79">
        <v>355030876</v>
      </c>
      <c r="F79" t="s">
        <v>181</v>
      </c>
      <c r="G79">
        <v>-0.3968870766</v>
      </c>
      <c r="H79">
        <v>4.0963676830000004</v>
      </c>
      <c r="I79">
        <v>24.170579360000001</v>
      </c>
      <c r="J79">
        <v>11.38686253</v>
      </c>
      <c r="K79">
        <v>67.993430799999999</v>
      </c>
      <c r="L79">
        <v>0.2291295643</v>
      </c>
      <c r="M79">
        <v>2276.1521790000002</v>
      </c>
      <c r="N79">
        <v>-6.2748381549999996E-2</v>
      </c>
      <c r="O79">
        <v>754</v>
      </c>
      <c r="P79">
        <v>849.82784679999997</v>
      </c>
      <c r="Q79">
        <f t="shared" si="1"/>
        <v>2.9293309577648343</v>
      </c>
      <c r="R79">
        <v>0.88723851880000004</v>
      </c>
      <c r="S79">
        <v>754</v>
      </c>
      <c r="T79">
        <v>228429</v>
      </c>
      <c r="U79">
        <v>-46.509545580000001</v>
      </c>
      <c r="V79">
        <v>-23.605563140000001</v>
      </c>
    </row>
    <row r="80" spans="1:22" x14ac:dyDescent="0.3">
      <c r="A80" t="s">
        <v>182</v>
      </c>
      <c r="B80">
        <v>77</v>
      </c>
      <c r="C80" t="s">
        <v>183</v>
      </c>
      <c r="D80" t="s">
        <v>23</v>
      </c>
      <c r="E80">
        <v>355030877</v>
      </c>
      <c r="F80" t="s">
        <v>183</v>
      </c>
      <c r="G80">
        <v>0.47188590800000002</v>
      </c>
      <c r="H80">
        <v>42.676012530000001</v>
      </c>
      <c r="I80">
        <v>38.02141984</v>
      </c>
      <c r="J80">
        <v>1.229324412</v>
      </c>
      <c r="K80">
        <v>94.306382189999994</v>
      </c>
      <c r="L80">
        <v>49.256557299999997</v>
      </c>
      <c r="M80">
        <v>9647.7271369999999</v>
      </c>
      <c r="N80">
        <v>0.41280955660000002</v>
      </c>
      <c r="O80">
        <v>61</v>
      </c>
      <c r="P80">
        <v>269.04946419999999</v>
      </c>
      <c r="Q80">
        <f t="shared" si="1"/>
        <v>2.4298321315052962</v>
      </c>
      <c r="R80">
        <v>0.22672410879999999</v>
      </c>
      <c r="S80">
        <v>61</v>
      </c>
      <c r="T80">
        <v>72319</v>
      </c>
      <c r="U80">
        <v>-46.641070030000002</v>
      </c>
      <c r="V80">
        <v>-23.614613869999999</v>
      </c>
    </row>
    <row r="81" spans="1:22" x14ac:dyDescent="0.3">
      <c r="A81" t="s">
        <v>184</v>
      </c>
      <c r="B81">
        <v>78</v>
      </c>
      <c r="C81" t="s">
        <v>185</v>
      </c>
      <c r="D81" t="s">
        <v>26</v>
      </c>
      <c r="E81">
        <v>355030878</v>
      </c>
      <c r="F81" t="s">
        <v>185</v>
      </c>
      <c r="G81">
        <v>-0.17713561250000001</v>
      </c>
      <c r="H81">
        <v>7.89565246</v>
      </c>
      <c r="I81">
        <v>49.561578529999998</v>
      </c>
      <c r="J81">
        <v>9.5105301919999992</v>
      </c>
      <c r="K81">
        <v>70.76174245</v>
      </c>
      <c r="L81">
        <v>2.980822571</v>
      </c>
      <c r="M81">
        <v>2908.1068230000001</v>
      </c>
      <c r="N81">
        <v>-1.394439087E-2</v>
      </c>
      <c r="O81">
        <v>69</v>
      </c>
      <c r="P81">
        <v>78.907882229999998</v>
      </c>
      <c r="Q81">
        <f t="shared" si="1"/>
        <v>1.8971203877216332</v>
      </c>
      <c r="R81">
        <v>0.87443735720000004</v>
      </c>
      <c r="S81">
        <v>69</v>
      </c>
      <c r="T81">
        <v>21210</v>
      </c>
      <c r="U81">
        <v>-46.631447860000002</v>
      </c>
      <c r="V81">
        <v>-23.54771294</v>
      </c>
    </row>
    <row r="82" spans="1:22" x14ac:dyDescent="0.3">
      <c r="A82" t="s">
        <v>186</v>
      </c>
      <c r="B82">
        <v>79</v>
      </c>
      <c r="C82" t="s">
        <v>187</v>
      </c>
      <c r="D82" t="s">
        <v>54</v>
      </c>
      <c r="E82">
        <v>355030879</v>
      </c>
      <c r="F82" t="s">
        <v>187</v>
      </c>
      <c r="G82">
        <v>0.1648397127</v>
      </c>
      <c r="H82">
        <v>22.981701040000001</v>
      </c>
      <c r="I82">
        <v>34.594036969999998</v>
      </c>
      <c r="J82">
        <v>3.9016758139999999</v>
      </c>
      <c r="K82">
        <v>91.630185429999997</v>
      </c>
      <c r="L82">
        <v>14.46642488</v>
      </c>
      <c r="M82">
        <v>9350.3727249999993</v>
      </c>
      <c r="N82">
        <v>0.23353840049999999</v>
      </c>
      <c r="O82">
        <v>34</v>
      </c>
      <c r="P82">
        <v>82.245004829999999</v>
      </c>
      <c r="Q82">
        <f t="shared" si="1"/>
        <v>1.9151095304439623</v>
      </c>
      <c r="R82">
        <v>0.41339896650000002</v>
      </c>
      <c r="S82">
        <v>34</v>
      </c>
      <c r="T82">
        <v>22107</v>
      </c>
      <c r="U82">
        <v>-46.713717099999997</v>
      </c>
      <c r="V82">
        <v>-23.685279399999999</v>
      </c>
    </row>
    <row r="83" spans="1:22" x14ac:dyDescent="0.3">
      <c r="A83" t="s">
        <v>188</v>
      </c>
      <c r="B83">
        <v>80</v>
      </c>
      <c r="C83" t="s">
        <v>189</v>
      </c>
      <c r="D83" t="s">
        <v>23</v>
      </c>
      <c r="E83">
        <v>355030880</v>
      </c>
      <c r="F83" t="s">
        <v>189</v>
      </c>
      <c r="G83">
        <v>0.36068027120000001</v>
      </c>
      <c r="H83">
        <v>33.289305949999999</v>
      </c>
      <c r="I83">
        <v>35.777936269999998</v>
      </c>
      <c r="J83">
        <v>1.4654635549999999</v>
      </c>
      <c r="K83">
        <v>92.739197500000003</v>
      </c>
      <c r="L83">
        <v>32.390527609999999</v>
      </c>
      <c r="M83">
        <v>9556.3780650000008</v>
      </c>
      <c r="N83">
        <v>0.42998526479999999</v>
      </c>
      <c r="O83">
        <v>88</v>
      </c>
      <c r="P83">
        <v>202.45210449999999</v>
      </c>
      <c r="Q83">
        <f t="shared" si="1"/>
        <v>2.3063222956412894</v>
      </c>
      <c r="R83">
        <v>0.43467071010000002</v>
      </c>
      <c r="S83">
        <v>88</v>
      </c>
      <c r="T83">
        <v>54418</v>
      </c>
      <c r="U83">
        <v>-46.567450520000001</v>
      </c>
      <c r="V83">
        <v>-23.538680710000001</v>
      </c>
    </row>
    <row r="84" spans="1:22" x14ac:dyDescent="0.3">
      <c r="A84" t="s">
        <v>190</v>
      </c>
      <c r="B84">
        <v>81</v>
      </c>
      <c r="C84" t="s">
        <v>191</v>
      </c>
      <c r="D84" t="s">
        <v>29</v>
      </c>
      <c r="E84">
        <v>355030881</v>
      </c>
      <c r="F84" t="s">
        <v>191</v>
      </c>
      <c r="G84">
        <v>-0.38140695769999999</v>
      </c>
      <c r="H84">
        <v>7.7289051229999997</v>
      </c>
      <c r="I84">
        <v>21.963661999999999</v>
      </c>
      <c r="J84">
        <v>12.04547655</v>
      </c>
      <c r="K84">
        <v>62.411628239999999</v>
      </c>
      <c r="L84">
        <v>3.5141251389999999</v>
      </c>
      <c r="M84">
        <v>3127.0318849999999</v>
      </c>
      <c r="N84">
        <v>-9.4102087659999993E-3</v>
      </c>
      <c r="O84">
        <v>893</v>
      </c>
      <c r="P84">
        <v>683.47023899999999</v>
      </c>
      <c r="Q84">
        <f t="shared" si="1"/>
        <v>2.8347196084144839</v>
      </c>
      <c r="R84">
        <v>1.3065674979999999</v>
      </c>
      <c r="S84">
        <v>893</v>
      </c>
      <c r="T84">
        <v>183713</v>
      </c>
      <c r="U84">
        <v>-46.589339250000002</v>
      </c>
      <c r="V84">
        <v>-23.417168220000001</v>
      </c>
    </row>
    <row r="85" spans="1:22" x14ac:dyDescent="0.3">
      <c r="A85" t="s">
        <v>192</v>
      </c>
      <c r="B85">
        <v>82</v>
      </c>
      <c r="C85" t="s">
        <v>193</v>
      </c>
      <c r="D85" t="s">
        <v>29</v>
      </c>
      <c r="E85">
        <v>355030882</v>
      </c>
      <c r="F85" t="s">
        <v>193</v>
      </c>
      <c r="G85">
        <v>5.1117116150000003E-2</v>
      </c>
      <c r="H85">
        <v>21.29718355</v>
      </c>
      <c r="I85">
        <v>30.659434560000001</v>
      </c>
      <c r="J85">
        <v>1.9812448140000001</v>
      </c>
      <c r="K85">
        <v>85.162884739999996</v>
      </c>
      <c r="L85">
        <v>12.592428119999999</v>
      </c>
      <c r="M85">
        <v>5203.5635789999997</v>
      </c>
      <c r="N85">
        <v>0.23897033039999999</v>
      </c>
      <c r="O85">
        <v>169</v>
      </c>
      <c r="P85">
        <v>208.47901479999999</v>
      </c>
      <c r="Q85">
        <f t="shared" si="1"/>
        <v>2.3190623460472577</v>
      </c>
      <c r="R85">
        <v>0.81063314760000005</v>
      </c>
      <c r="S85">
        <v>169</v>
      </c>
      <c r="T85">
        <v>56038</v>
      </c>
      <c r="U85">
        <v>-46.606044349999998</v>
      </c>
      <c r="V85">
        <v>-23.475701839999999</v>
      </c>
    </row>
    <row r="86" spans="1:22" x14ac:dyDescent="0.3">
      <c r="A86" t="s">
        <v>194</v>
      </c>
      <c r="B86">
        <v>83</v>
      </c>
      <c r="C86" t="s">
        <v>195</v>
      </c>
      <c r="D86" t="s">
        <v>54</v>
      </c>
      <c r="E86">
        <v>355030883</v>
      </c>
      <c r="F86" t="s">
        <v>195</v>
      </c>
      <c r="G86">
        <v>-3.04239855E-2</v>
      </c>
      <c r="H86">
        <v>22.23037214</v>
      </c>
      <c r="I86">
        <v>27.52930169</v>
      </c>
      <c r="J86">
        <v>16.46213878</v>
      </c>
      <c r="K86">
        <v>75.731645130000004</v>
      </c>
      <c r="L86">
        <v>35.599371920000003</v>
      </c>
      <c r="M86">
        <v>8732.6874680000001</v>
      </c>
      <c r="N86">
        <v>0.1448053191</v>
      </c>
      <c r="O86">
        <v>520</v>
      </c>
      <c r="P86">
        <v>497.09733619999997</v>
      </c>
      <c r="Q86">
        <f t="shared" si="1"/>
        <v>2.6964414358874591</v>
      </c>
      <c r="R86">
        <v>1.0460727949999999</v>
      </c>
      <c r="S86">
        <v>520</v>
      </c>
      <c r="T86">
        <v>133617</v>
      </c>
      <c r="U86">
        <v>-46.728278869999997</v>
      </c>
      <c r="V86">
        <v>-23.62623043</v>
      </c>
    </row>
    <row r="87" spans="1:22" x14ac:dyDescent="0.3">
      <c r="A87" t="s">
        <v>196</v>
      </c>
      <c r="B87">
        <v>84</v>
      </c>
      <c r="C87" t="s">
        <v>197</v>
      </c>
      <c r="D87" t="s">
        <v>73</v>
      </c>
      <c r="E87">
        <v>355030884</v>
      </c>
      <c r="F87" t="s">
        <v>197</v>
      </c>
      <c r="G87">
        <v>-0.4799709023</v>
      </c>
      <c r="H87">
        <v>3.9106732700000002</v>
      </c>
      <c r="I87">
        <v>21.484592750000001</v>
      </c>
      <c r="J87">
        <v>15.940768479999999</v>
      </c>
      <c r="K87">
        <v>66.147809769999995</v>
      </c>
      <c r="L87">
        <v>0.2163272936</v>
      </c>
      <c r="M87">
        <v>2162.059491</v>
      </c>
      <c r="N87">
        <v>-0.1228922595</v>
      </c>
      <c r="O87">
        <v>579</v>
      </c>
      <c r="P87">
        <v>467.66220349999998</v>
      </c>
      <c r="Q87">
        <f t="shared" si="1"/>
        <v>2.6699322716089733</v>
      </c>
      <c r="R87">
        <v>1.238073113</v>
      </c>
      <c r="S87">
        <v>579</v>
      </c>
      <c r="T87">
        <v>125705</v>
      </c>
      <c r="U87">
        <v>-46.41565662</v>
      </c>
      <c r="V87">
        <v>-23.509996810000001</v>
      </c>
    </row>
    <row r="88" spans="1:22" x14ac:dyDescent="0.3">
      <c r="A88" t="s">
        <v>198</v>
      </c>
      <c r="B88">
        <v>85</v>
      </c>
      <c r="C88" t="s">
        <v>199</v>
      </c>
      <c r="D88" t="s">
        <v>23</v>
      </c>
      <c r="E88">
        <v>355030885</v>
      </c>
      <c r="F88" t="s">
        <v>199</v>
      </c>
      <c r="G88">
        <v>-5.881766804E-2</v>
      </c>
      <c r="H88">
        <v>14.67369663</v>
      </c>
      <c r="I88">
        <v>34.452168059999998</v>
      </c>
      <c r="J88">
        <v>5.0016403560000002</v>
      </c>
      <c r="K88">
        <v>80.778807130000004</v>
      </c>
      <c r="L88">
        <v>7.6410872559999996</v>
      </c>
      <c r="M88">
        <v>4402.2159279999996</v>
      </c>
      <c r="N88">
        <v>0.15025594759999999</v>
      </c>
      <c r="O88">
        <v>100</v>
      </c>
      <c r="P88">
        <v>218.22252</v>
      </c>
      <c r="Q88">
        <f t="shared" si="1"/>
        <v>2.3388995666329997</v>
      </c>
      <c r="R88">
        <v>0.45824784730000001</v>
      </c>
      <c r="S88">
        <v>100</v>
      </c>
      <c r="T88">
        <v>58657</v>
      </c>
      <c r="U88">
        <v>-46.545991890000003</v>
      </c>
      <c r="V88">
        <v>-23.567858080000001</v>
      </c>
    </row>
    <row r="89" spans="1:22" x14ac:dyDescent="0.3">
      <c r="A89" t="s">
        <v>200</v>
      </c>
      <c r="B89">
        <v>86</v>
      </c>
      <c r="C89" t="s">
        <v>201</v>
      </c>
      <c r="D89" t="s">
        <v>29</v>
      </c>
      <c r="E89">
        <v>355030886</v>
      </c>
      <c r="F89" t="s">
        <v>201</v>
      </c>
      <c r="G89">
        <v>2.145933396E-2</v>
      </c>
      <c r="H89">
        <v>19.332148709999998</v>
      </c>
      <c r="I89">
        <v>38.044829249999999</v>
      </c>
      <c r="J89">
        <v>6.2258978909999998</v>
      </c>
      <c r="K89">
        <v>83.481346180000003</v>
      </c>
      <c r="L89">
        <v>15.14516113</v>
      </c>
      <c r="M89">
        <v>4815.7072260000004</v>
      </c>
      <c r="N89">
        <v>0.17917633650000001</v>
      </c>
      <c r="O89">
        <v>135</v>
      </c>
      <c r="P89">
        <v>151.31637409999999</v>
      </c>
      <c r="Q89">
        <f t="shared" si="1"/>
        <v>2.1798859260172923</v>
      </c>
      <c r="R89">
        <v>0.89217046619999996</v>
      </c>
      <c r="S89">
        <v>135</v>
      </c>
      <c r="T89">
        <v>40673</v>
      </c>
      <c r="U89">
        <v>-46.605765509999998</v>
      </c>
      <c r="V89">
        <v>-23.509177569999999</v>
      </c>
    </row>
    <row r="90" spans="1:22" x14ac:dyDescent="0.3">
      <c r="A90" t="s">
        <v>202</v>
      </c>
      <c r="B90">
        <v>87</v>
      </c>
      <c r="C90" t="s">
        <v>203</v>
      </c>
      <c r="D90" t="s">
        <v>73</v>
      </c>
      <c r="E90">
        <v>355030887</v>
      </c>
      <c r="F90" t="s">
        <v>203</v>
      </c>
      <c r="G90">
        <v>-0.46460806040000002</v>
      </c>
      <c r="H90">
        <v>4.796878252</v>
      </c>
      <c r="I90">
        <v>24.599806340000001</v>
      </c>
      <c r="J90">
        <v>17.58344361</v>
      </c>
      <c r="K90">
        <v>67.105169329999995</v>
      </c>
      <c r="L90">
        <v>0.97024509209999998</v>
      </c>
      <c r="M90">
        <v>2376.0071469999998</v>
      </c>
      <c r="N90">
        <v>-0.1284297348</v>
      </c>
      <c r="O90">
        <v>621</v>
      </c>
      <c r="P90">
        <v>422.05858160000002</v>
      </c>
      <c r="Q90">
        <f t="shared" si="1"/>
        <v>2.6253727350846399</v>
      </c>
      <c r="R90">
        <v>1.4713597279999999</v>
      </c>
      <c r="S90">
        <v>621</v>
      </c>
      <c r="T90">
        <v>113447</v>
      </c>
      <c r="U90">
        <v>-46.46156216</v>
      </c>
      <c r="V90">
        <v>-23.502622949999999</v>
      </c>
    </row>
    <row r="91" spans="1:22" x14ac:dyDescent="0.3">
      <c r="A91" t="s">
        <v>204</v>
      </c>
      <c r="B91">
        <v>88</v>
      </c>
      <c r="C91" t="s">
        <v>205</v>
      </c>
      <c r="D91" t="s">
        <v>26</v>
      </c>
      <c r="E91">
        <v>355030888</v>
      </c>
      <c r="F91" t="s">
        <v>205</v>
      </c>
      <c r="G91">
        <v>0.50805603089999996</v>
      </c>
      <c r="H91">
        <v>36.5403892</v>
      </c>
      <c r="I91">
        <v>40.900373389999999</v>
      </c>
      <c r="J91">
        <v>2.857364767</v>
      </c>
      <c r="K91">
        <v>90.177184420000003</v>
      </c>
      <c r="L91">
        <v>61.523116260000002</v>
      </c>
      <c r="M91">
        <v>11016.63782</v>
      </c>
      <c r="N91">
        <v>0.49021656870000002</v>
      </c>
      <c r="O91">
        <v>52</v>
      </c>
      <c r="P91">
        <v>106.8809311</v>
      </c>
      <c r="Q91">
        <f t="shared" si="1"/>
        <v>2.0289002285318327</v>
      </c>
      <c r="R91">
        <v>0.4865227077</v>
      </c>
      <c r="S91">
        <v>52</v>
      </c>
      <c r="T91">
        <v>28729</v>
      </c>
      <c r="U91">
        <v>-46.734373439999999</v>
      </c>
      <c r="V91">
        <v>-23.529267170000001</v>
      </c>
    </row>
    <row r="92" spans="1:22" x14ac:dyDescent="0.3">
      <c r="A92" t="s">
        <v>206</v>
      </c>
      <c r="B92">
        <v>89</v>
      </c>
      <c r="C92" t="s">
        <v>207</v>
      </c>
      <c r="D92" t="s">
        <v>29</v>
      </c>
      <c r="E92">
        <v>355030889</v>
      </c>
      <c r="F92" t="s">
        <v>207</v>
      </c>
      <c r="G92">
        <v>-0.17456553229999999</v>
      </c>
      <c r="H92">
        <v>10.14007254</v>
      </c>
      <c r="I92">
        <v>40.154262500000002</v>
      </c>
      <c r="J92">
        <v>8.367977582</v>
      </c>
      <c r="K92">
        <v>71.763765359999994</v>
      </c>
      <c r="L92">
        <v>5.1979519219999997</v>
      </c>
      <c r="M92">
        <v>3446.0619109999998</v>
      </c>
      <c r="N92">
        <v>3.3561190320000003E-2</v>
      </c>
      <c r="O92">
        <v>532</v>
      </c>
      <c r="P92">
        <v>335.5352145</v>
      </c>
      <c r="Q92">
        <f t="shared" si="1"/>
        <v>2.5257381062053943</v>
      </c>
      <c r="R92">
        <v>1.585526577</v>
      </c>
      <c r="S92">
        <v>532</v>
      </c>
      <c r="T92">
        <v>90190</v>
      </c>
      <c r="U92">
        <v>-46.577782919999997</v>
      </c>
      <c r="V92">
        <v>-23.513034709999999</v>
      </c>
    </row>
    <row r="93" spans="1:22" x14ac:dyDescent="0.3">
      <c r="A93" t="s">
        <v>208</v>
      </c>
      <c r="B93">
        <v>90</v>
      </c>
      <c r="C93" t="s">
        <v>209</v>
      </c>
      <c r="D93" t="s">
        <v>23</v>
      </c>
      <c r="E93">
        <v>355030890</v>
      </c>
      <c r="F93" t="s">
        <v>209</v>
      </c>
      <c r="G93">
        <v>0.72112731929999996</v>
      </c>
      <c r="H93">
        <v>49.156409930000002</v>
      </c>
      <c r="I93">
        <v>43.560432919999997</v>
      </c>
      <c r="J93">
        <v>0.59937255150000002</v>
      </c>
      <c r="K93">
        <v>95.840396100000007</v>
      </c>
      <c r="L93">
        <v>66.847425990000005</v>
      </c>
      <c r="M93">
        <v>14977.502329999999</v>
      </c>
      <c r="N93">
        <v>0.53209221920000005</v>
      </c>
      <c r="O93">
        <v>60</v>
      </c>
      <c r="P93">
        <v>246.86894580000001</v>
      </c>
      <c r="Q93">
        <f t="shared" si="1"/>
        <v>2.3924664624879326</v>
      </c>
      <c r="R93">
        <v>0.24304393490000001</v>
      </c>
      <c r="S93">
        <v>60</v>
      </c>
      <c r="T93">
        <v>66357</v>
      </c>
      <c r="U93">
        <v>-46.635802200000001</v>
      </c>
      <c r="V93">
        <v>-23.58650381</v>
      </c>
    </row>
    <row r="94" spans="1:22" x14ac:dyDescent="0.3">
      <c r="A94" t="s">
        <v>210</v>
      </c>
      <c r="B94">
        <v>91</v>
      </c>
      <c r="C94" t="s">
        <v>211</v>
      </c>
      <c r="D94" t="s">
        <v>23</v>
      </c>
      <c r="E94">
        <v>355030891</v>
      </c>
      <c r="F94" t="s">
        <v>211</v>
      </c>
      <c r="G94">
        <v>-0.1037979576</v>
      </c>
      <c r="H94">
        <v>15.86338344</v>
      </c>
      <c r="I94">
        <v>28.007799609999999</v>
      </c>
      <c r="J94">
        <v>5.5526672359999996</v>
      </c>
      <c r="K94">
        <v>81.494399950000002</v>
      </c>
      <c r="L94">
        <v>5.6592816089999998</v>
      </c>
      <c r="M94">
        <v>4147.2716600000003</v>
      </c>
      <c r="N94">
        <v>0.13905153000000001</v>
      </c>
      <c r="O94">
        <v>186</v>
      </c>
      <c r="P94">
        <v>259.87144690000002</v>
      </c>
      <c r="Q94">
        <f t="shared" si="1"/>
        <v>2.4147585644760428</v>
      </c>
      <c r="R94">
        <v>0.71573850139999995</v>
      </c>
      <c r="S94">
        <v>186</v>
      </c>
      <c r="T94">
        <v>69852</v>
      </c>
      <c r="U94">
        <v>-46.517875609999997</v>
      </c>
      <c r="V94">
        <v>-23.539360949999999</v>
      </c>
    </row>
    <row r="95" spans="1:22" x14ac:dyDescent="0.3">
      <c r="A95" t="s">
        <v>212</v>
      </c>
      <c r="B95">
        <v>92</v>
      </c>
      <c r="C95" t="s">
        <v>213</v>
      </c>
      <c r="D95" t="s">
        <v>29</v>
      </c>
      <c r="E95">
        <v>355030892</v>
      </c>
      <c r="F95" t="s">
        <v>213</v>
      </c>
      <c r="G95">
        <v>-0.1871657279</v>
      </c>
      <c r="H95">
        <v>9.5569178469999994</v>
      </c>
      <c r="I95">
        <v>35.434454260000003</v>
      </c>
      <c r="J95">
        <v>6.068237484</v>
      </c>
      <c r="K95">
        <v>70.877377659999993</v>
      </c>
      <c r="L95">
        <v>2.701830052</v>
      </c>
      <c r="M95">
        <v>3284.6613579999998</v>
      </c>
      <c r="N95">
        <v>6.6864506589999997E-2</v>
      </c>
      <c r="O95">
        <v>461</v>
      </c>
      <c r="P95">
        <v>335.68030670000002</v>
      </c>
      <c r="Q95">
        <f t="shared" si="1"/>
        <v>2.525925863314157</v>
      </c>
      <c r="R95">
        <v>1.3733304900000001</v>
      </c>
      <c r="S95">
        <v>461</v>
      </c>
      <c r="T95">
        <v>90229</v>
      </c>
      <c r="U95">
        <v>-46.577618909999998</v>
      </c>
      <c r="V95">
        <v>-23.48873781</v>
      </c>
    </row>
    <row r="96" spans="1:22" x14ac:dyDescent="0.3">
      <c r="A96" t="s">
        <v>214</v>
      </c>
      <c r="B96">
        <v>93</v>
      </c>
      <c r="C96" t="s">
        <v>215</v>
      </c>
      <c r="D96" t="s">
        <v>23</v>
      </c>
      <c r="E96">
        <v>355030893</v>
      </c>
      <c r="F96" t="s">
        <v>215</v>
      </c>
      <c r="G96">
        <v>2.3620877679999999E-2</v>
      </c>
      <c r="H96">
        <v>16.176419549999999</v>
      </c>
      <c r="I96">
        <v>39.257770950000001</v>
      </c>
      <c r="J96">
        <v>3.8103519939999999</v>
      </c>
      <c r="K96">
        <v>83.458442219999995</v>
      </c>
      <c r="L96">
        <v>9.8335466569999994</v>
      </c>
      <c r="M96">
        <v>5041.8539360000004</v>
      </c>
      <c r="N96">
        <v>0.183385189</v>
      </c>
      <c r="O96">
        <v>95</v>
      </c>
      <c r="P96">
        <v>244.3763348</v>
      </c>
      <c r="Q96">
        <f t="shared" si="1"/>
        <v>2.3880591468921315</v>
      </c>
      <c r="R96">
        <v>0.38874467979999999</v>
      </c>
      <c r="S96">
        <v>95</v>
      </c>
      <c r="T96">
        <v>65687</v>
      </c>
      <c r="U96">
        <v>-46.572784650000003</v>
      </c>
      <c r="V96">
        <v>-23.592553680000002</v>
      </c>
    </row>
    <row r="97" spans="1:22" x14ac:dyDescent="0.3">
      <c r="A97" t="s">
        <v>216</v>
      </c>
      <c r="B97">
        <v>94</v>
      </c>
      <c r="C97" t="s">
        <v>217</v>
      </c>
      <c r="D97" t="s">
        <v>26</v>
      </c>
      <c r="E97">
        <v>355030894</v>
      </c>
      <c r="F97" t="s">
        <v>217</v>
      </c>
      <c r="G97">
        <v>6.4115530749999997E-2</v>
      </c>
      <c r="H97">
        <v>25.891610409999998</v>
      </c>
      <c r="I97">
        <v>29.10333756</v>
      </c>
      <c r="J97">
        <v>7.4634396819999997</v>
      </c>
      <c r="K97">
        <v>79.887325649999994</v>
      </c>
      <c r="L97">
        <v>24.495499769999999</v>
      </c>
      <c r="M97">
        <v>7210.9201089999997</v>
      </c>
      <c r="N97">
        <v>0.24462371259999999</v>
      </c>
      <c r="O97">
        <v>176</v>
      </c>
      <c r="P97">
        <v>334.9697266</v>
      </c>
      <c r="Q97">
        <f t="shared" si="1"/>
        <v>2.5250055587841098</v>
      </c>
      <c r="R97">
        <v>0.52542061579999999</v>
      </c>
      <c r="S97">
        <v>176</v>
      </c>
      <c r="T97">
        <v>90038</v>
      </c>
      <c r="U97">
        <v>-46.739230159999998</v>
      </c>
      <c r="V97">
        <v>-23.599435740000001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Emanueli Minatti</dc:creator>
  <cp:lastModifiedBy>Ligia Barrozo</cp:lastModifiedBy>
  <dcterms:created xsi:type="dcterms:W3CDTF">2024-10-15T18:47:52Z</dcterms:created>
  <dcterms:modified xsi:type="dcterms:W3CDTF">2024-10-15T18:53:34Z</dcterms:modified>
</cp:coreProperties>
</file>